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nergomost\Desktop\Тендеры\2026  год\№26 Электросталь\№4 КП\"/>
    </mc:Choice>
  </mc:AlternateContent>
  <xr:revisionPtr revIDLastSave="0" documentId="13_ncr:1_{C583102A-9B21-4317-9B92-2B8E1A73B4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ЭОМ-1" sheetId="1" r:id="rId1"/>
  </sheets>
  <externalReferences>
    <externalReference r:id="rId2"/>
  </externalReferences>
  <definedNames>
    <definedName name="_Hlk158214537" localSheetId="0">'ЭОМ-1'!#REF!</definedName>
    <definedName name="_xlnm._FilterDatabase" localSheetId="0" hidden="1">'ЭОМ-1'!$A$23:$J$168</definedName>
    <definedName name="Доставка">'[1].'!$G$10:$G$15</definedName>
    <definedName name="Инженер">'[1].'!$C$10:$C$20</definedName>
    <definedName name="Клиент">'[1].'!$E$10:$E$29</definedName>
    <definedName name="Коммерсант">'[1].'!$Q$10:$Q$19</definedName>
    <definedName name="Контакт">'[1].'!$U$10:$U$20</definedName>
    <definedName name="Менеджер">'[1].'!$O$10:$O$15</definedName>
    <definedName name="Объект">'[1].'!$M$10:$M$13</definedName>
    <definedName name="Ок">'[1].'!$B$10:$B$11</definedName>
    <definedName name="Срок_изготовления">'[1].'!$J$10:$J$23</definedName>
    <definedName name="Фирма">'[1].'!$A$9:$A$28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5" i="1" l="1"/>
  <c r="I43" i="1"/>
  <c r="H43" i="1" s="1"/>
  <c r="J43" i="1"/>
  <c r="E43" i="1"/>
  <c r="I165" i="1" l="1"/>
  <c r="J165" i="1"/>
  <c r="D114" i="1"/>
  <c r="J114" i="1" s="1"/>
  <c r="J115" i="1"/>
  <c r="I115" i="1"/>
  <c r="E115" i="1"/>
  <c r="E114" i="1"/>
  <c r="H165" i="1" l="1"/>
  <c r="H115" i="1"/>
  <c r="I114" i="1"/>
  <c r="H114" i="1" s="1"/>
  <c r="J162" i="1"/>
  <c r="I162" i="1"/>
  <c r="E162" i="1"/>
  <c r="J161" i="1"/>
  <c r="I161" i="1"/>
  <c r="E161" i="1"/>
  <c r="E160" i="1"/>
  <c r="D160" i="1"/>
  <c r="J159" i="1"/>
  <c r="I159" i="1"/>
  <c r="E159" i="1"/>
  <c r="J158" i="1"/>
  <c r="I158" i="1"/>
  <c r="E158" i="1"/>
  <c r="E157" i="1"/>
  <c r="D157" i="1"/>
  <c r="J156" i="1"/>
  <c r="I156" i="1"/>
  <c r="E156" i="1"/>
  <c r="J155" i="1"/>
  <c r="I155" i="1"/>
  <c r="E155" i="1"/>
  <c r="E154" i="1"/>
  <c r="D154" i="1"/>
  <c r="J152" i="1"/>
  <c r="I152" i="1"/>
  <c r="E152" i="1"/>
  <c r="J151" i="1"/>
  <c r="I151" i="1"/>
  <c r="E151" i="1"/>
  <c r="J150" i="1"/>
  <c r="I150" i="1"/>
  <c r="E150" i="1"/>
  <c r="J149" i="1"/>
  <c r="I149" i="1"/>
  <c r="E149" i="1"/>
  <c r="J148" i="1"/>
  <c r="I148" i="1"/>
  <c r="E148" i="1"/>
  <c r="J147" i="1"/>
  <c r="I147" i="1"/>
  <c r="E147" i="1"/>
  <c r="J146" i="1"/>
  <c r="I146" i="1"/>
  <c r="E146" i="1"/>
  <c r="J145" i="1"/>
  <c r="I145" i="1"/>
  <c r="E145" i="1"/>
  <c r="E144" i="1"/>
  <c r="D144" i="1"/>
  <c r="J142" i="1"/>
  <c r="I142" i="1"/>
  <c r="E142" i="1"/>
  <c r="J141" i="1"/>
  <c r="I141" i="1"/>
  <c r="E141" i="1"/>
  <c r="E140" i="1"/>
  <c r="D140" i="1"/>
  <c r="J139" i="1"/>
  <c r="I139" i="1"/>
  <c r="E139" i="1"/>
  <c r="E138" i="1"/>
  <c r="D138" i="1"/>
  <c r="I154" i="1" l="1"/>
  <c r="J140" i="1"/>
  <c r="J160" i="1"/>
  <c r="J144" i="1"/>
  <c r="J138" i="1"/>
  <c r="I157" i="1"/>
  <c r="H159" i="1"/>
  <c r="H162" i="1"/>
  <c r="H155" i="1"/>
  <c r="H147" i="1"/>
  <c r="H151" i="1"/>
  <c r="J154" i="1"/>
  <c r="H154" i="1" s="1"/>
  <c r="H149" i="1"/>
  <c r="H145" i="1"/>
  <c r="H150" i="1"/>
  <c r="H142" i="1"/>
  <c r="H156" i="1"/>
  <c r="H158" i="1"/>
  <c r="H161" i="1"/>
  <c r="H148" i="1"/>
  <c r="J157" i="1"/>
  <c r="I160" i="1"/>
  <c r="H160" i="1" s="1"/>
  <c r="H146" i="1"/>
  <c r="H152" i="1"/>
  <c r="H141" i="1"/>
  <c r="I144" i="1"/>
  <c r="H144" i="1" s="1"/>
  <c r="I138" i="1"/>
  <c r="H139" i="1"/>
  <c r="I140" i="1"/>
  <c r="H140" i="1" s="1"/>
  <c r="D89" i="1"/>
  <c r="H157" i="1" l="1"/>
  <c r="H138" i="1"/>
  <c r="D93" i="1"/>
  <c r="D77" i="1"/>
  <c r="J164" i="1" l="1"/>
  <c r="I164" i="1"/>
  <c r="E164" i="1"/>
  <c r="E163" i="1"/>
  <c r="D163" i="1"/>
  <c r="J94" i="1"/>
  <c r="I94" i="1"/>
  <c r="E94" i="1"/>
  <c r="J93" i="1"/>
  <c r="I93" i="1"/>
  <c r="E93" i="1"/>
  <c r="J92" i="1"/>
  <c r="I92" i="1"/>
  <c r="E92" i="1"/>
  <c r="J91" i="1"/>
  <c r="I91" i="1"/>
  <c r="E91" i="1"/>
  <c r="J90" i="1"/>
  <c r="I90" i="1"/>
  <c r="E90" i="1"/>
  <c r="E89" i="1"/>
  <c r="I89" i="1"/>
  <c r="J88" i="1"/>
  <c r="I88" i="1"/>
  <c r="E88" i="1"/>
  <c r="J87" i="1"/>
  <c r="I87" i="1"/>
  <c r="E87" i="1"/>
  <c r="J86" i="1"/>
  <c r="I86" i="1"/>
  <c r="E86" i="1"/>
  <c r="D85" i="1"/>
  <c r="D81" i="1"/>
  <c r="E85" i="1"/>
  <c r="J84" i="1"/>
  <c r="I84" i="1"/>
  <c r="E84" i="1"/>
  <c r="J83" i="1"/>
  <c r="I83" i="1"/>
  <c r="E83" i="1"/>
  <c r="J82" i="1"/>
  <c r="I82" i="1"/>
  <c r="E82" i="1"/>
  <c r="E81" i="1"/>
  <c r="D126" i="1"/>
  <c r="E126" i="1"/>
  <c r="D117" i="1"/>
  <c r="E117" i="1"/>
  <c r="E111" i="1"/>
  <c r="D111" i="1"/>
  <c r="D104" i="1"/>
  <c r="E107" i="1"/>
  <c r="I107" i="1"/>
  <c r="J107" i="1"/>
  <c r="E108" i="1"/>
  <c r="I108" i="1"/>
  <c r="J108" i="1"/>
  <c r="D109" i="1"/>
  <c r="E109" i="1"/>
  <c r="E104" i="1"/>
  <c r="D100" i="1"/>
  <c r="E100" i="1"/>
  <c r="D96" i="1"/>
  <c r="E96" i="1"/>
  <c r="J77" i="1"/>
  <c r="I77" i="1"/>
  <c r="E77" i="1"/>
  <c r="J71" i="1"/>
  <c r="I71" i="1"/>
  <c r="E71" i="1"/>
  <c r="D72" i="1"/>
  <c r="E72" i="1"/>
  <c r="D64" i="1"/>
  <c r="D59" i="1"/>
  <c r="E64" i="1"/>
  <c r="E59" i="1"/>
  <c r="J136" i="1"/>
  <c r="I136" i="1"/>
  <c r="E136" i="1"/>
  <c r="J135" i="1"/>
  <c r="I135" i="1"/>
  <c r="E135" i="1"/>
  <c r="J134" i="1"/>
  <c r="I134" i="1"/>
  <c r="E134" i="1"/>
  <c r="J133" i="1"/>
  <c r="I133" i="1"/>
  <c r="E133" i="1"/>
  <c r="J132" i="1"/>
  <c r="I132" i="1"/>
  <c r="E132" i="1"/>
  <c r="J131" i="1"/>
  <c r="I131" i="1"/>
  <c r="E131" i="1"/>
  <c r="J130" i="1"/>
  <c r="I130" i="1"/>
  <c r="E130" i="1"/>
  <c r="J129" i="1"/>
  <c r="I129" i="1"/>
  <c r="E129" i="1"/>
  <c r="J128" i="1"/>
  <c r="I128" i="1"/>
  <c r="E128" i="1"/>
  <c r="J127" i="1"/>
  <c r="I127" i="1"/>
  <c r="E127" i="1"/>
  <c r="J125" i="1"/>
  <c r="I125" i="1"/>
  <c r="E125" i="1"/>
  <c r="J124" i="1"/>
  <c r="I124" i="1"/>
  <c r="E124" i="1"/>
  <c r="J123" i="1"/>
  <c r="I123" i="1"/>
  <c r="E123" i="1"/>
  <c r="J122" i="1"/>
  <c r="I122" i="1"/>
  <c r="E122" i="1"/>
  <c r="J121" i="1"/>
  <c r="I121" i="1"/>
  <c r="E121" i="1"/>
  <c r="J120" i="1"/>
  <c r="I120" i="1"/>
  <c r="E120" i="1"/>
  <c r="J116" i="1"/>
  <c r="I116" i="1"/>
  <c r="E116" i="1"/>
  <c r="J119" i="1"/>
  <c r="I119" i="1"/>
  <c r="E119" i="1"/>
  <c r="J118" i="1"/>
  <c r="I118" i="1"/>
  <c r="E118" i="1"/>
  <c r="J112" i="1"/>
  <c r="I112" i="1"/>
  <c r="E112" i="1"/>
  <c r="J110" i="1"/>
  <c r="I110" i="1"/>
  <c r="E110" i="1"/>
  <c r="J106" i="1"/>
  <c r="I106" i="1"/>
  <c r="E106" i="1"/>
  <c r="J105" i="1"/>
  <c r="I105" i="1"/>
  <c r="E105" i="1"/>
  <c r="J103" i="1"/>
  <c r="I103" i="1"/>
  <c r="E103" i="1"/>
  <c r="J102" i="1"/>
  <c r="I102" i="1"/>
  <c r="E102" i="1"/>
  <c r="J101" i="1"/>
  <c r="I101" i="1"/>
  <c r="E101" i="1"/>
  <c r="J99" i="1"/>
  <c r="I99" i="1"/>
  <c r="E99" i="1"/>
  <c r="J98" i="1"/>
  <c r="I98" i="1"/>
  <c r="E98" i="1"/>
  <c r="J97" i="1"/>
  <c r="I97" i="1"/>
  <c r="E97" i="1"/>
  <c r="J79" i="1"/>
  <c r="I79" i="1"/>
  <c r="E79" i="1"/>
  <c r="J78" i="1"/>
  <c r="I78" i="1"/>
  <c r="E78" i="1"/>
  <c r="J76" i="1"/>
  <c r="I76" i="1"/>
  <c r="E76" i="1"/>
  <c r="J75" i="1"/>
  <c r="I75" i="1"/>
  <c r="E75" i="1"/>
  <c r="J74" i="1"/>
  <c r="I74" i="1"/>
  <c r="E74" i="1"/>
  <c r="J73" i="1"/>
  <c r="I73" i="1"/>
  <c r="E73" i="1"/>
  <c r="J70" i="1"/>
  <c r="I70" i="1"/>
  <c r="E70" i="1"/>
  <c r="J69" i="1"/>
  <c r="I69" i="1"/>
  <c r="E69" i="1"/>
  <c r="J68" i="1"/>
  <c r="I68" i="1"/>
  <c r="E68" i="1"/>
  <c r="J67" i="1"/>
  <c r="I67" i="1"/>
  <c r="E67" i="1"/>
  <c r="J66" i="1"/>
  <c r="I66" i="1"/>
  <c r="E66" i="1"/>
  <c r="J65" i="1"/>
  <c r="I65" i="1"/>
  <c r="E65" i="1"/>
  <c r="J63" i="1"/>
  <c r="I63" i="1"/>
  <c r="E63" i="1"/>
  <c r="J62" i="1"/>
  <c r="I62" i="1"/>
  <c r="E62" i="1"/>
  <c r="J61" i="1"/>
  <c r="I61" i="1"/>
  <c r="E61" i="1"/>
  <c r="J60" i="1"/>
  <c r="I60" i="1"/>
  <c r="E60" i="1"/>
  <c r="J57" i="1"/>
  <c r="I57" i="1"/>
  <c r="E57" i="1"/>
  <c r="D56" i="1"/>
  <c r="E56" i="1"/>
  <c r="D53" i="1"/>
  <c r="E53" i="1"/>
  <c r="D51" i="1"/>
  <c r="E51" i="1"/>
  <c r="D49" i="1"/>
  <c r="D47" i="1"/>
  <c r="D41" i="1"/>
  <c r="D38" i="1"/>
  <c r="E38" i="1"/>
  <c r="D29" i="1"/>
  <c r="E32" i="1"/>
  <c r="I32" i="1"/>
  <c r="J32" i="1"/>
  <c r="E33" i="1"/>
  <c r="I33" i="1"/>
  <c r="J33" i="1"/>
  <c r="E34" i="1"/>
  <c r="I34" i="1"/>
  <c r="J34" i="1"/>
  <c r="E35" i="1"/>
  <c r="I35" i="1"/>
  <c r="J35" i="1"/>
  <c r="E36" i="1"/>
  <c r="I36" i="1"/>
  <c r="J36" i="1"/>
  <c r="E37" i="1"/>
  <c r="I37" i="1"/>
  <c r="J37" i="1"/>
  <c r="E39" i="1"/>
  <c r="I39" i="1"/>
  <c r="J39" i="1"/>
  <c r="J28" i="1"/>
  <c r="I28" i="1"/>
  <c r="E28" i="1"/>
  <c r="E27" i="1"/>
  <c r="D27" i="1"/>
  <c r="D25" i="1"/>
  <c r="J38" i="1" l="1"/>
  <c r="I100" i="1"/>
  <c r="J126" i="1"/>
  <c r="J51" i="1"/>
  <c r="I109" i="1"/>
  <c r="J53" i="1"/>
  <c r="I64" i="1"/>
  <c r="J72" i="1"/>
  <c r="J96" i="1"/>
  <c r="I104" i="1"/>
  <c r="H164" i="1"/>
  <c r="I163" i="1"/>
  <c r="J163" i="1"/>
  <c r="H71" i="1"/>
  <c r="H87" i="1"/>
  <c r="J56" i="1"/>
  <c r="H94" i="1"/>
  <c r="H86" i="1"/>
  <c r="H82" i="1"/>
  <c r="H90" i="1"/>
  <c r="H88" i="1"/>
  <c r="H93" i="1"/>
  <c r="H28" i="1"/>
  <c r="H107" i="1"/>
  <c r="H83" i="1"/>
  <c r="H91" i="1"/>
  <c r="H84" i="1"/>
  <c r="H92" i="1"/>
  <c r="J89" i="1"/>
  <c r="H89" i="1" s="1"/>
  <c r="I85" i="1"/>
  <c r="J85" i="1"/>
  <c r="I56" i="1"/>
  <c r="I59" i="1"/>
  <c r="J104" i="1"/>
  <c r="J59" i="1"/>
  <c r="J117" i="1"/>
  <c r="H60" i="1"/>
  <c r="H106" i="1"/>
  <c r="H73" i="1"/>
  <c r="H66" i="1"/>
  <c r="H128" i="1"/>
  <c r="H77" i="1"/>
  <c r="H119" i="1"/>
  <c r="H127" i="1"/>
  <c r="H121" i="1"/>
  <c r="H122" i="1"/>
  <c r="H125" i="1"/>
  <c r="H75" i="1"/>
  <c r="H131" i="1"/>
  <c r="H102" i="1"/>
  <c r="H123" i="1"/>
  <c r="H129" i="1"/>
  <c r="H132" i="1"/>
  <c r="H135" i="1"/>
  <c r="H103" i="1"/>
  <c r="H133" i="1"/>
  <c r="I126" i="1"/>
  <c r="H126" i="1" s="1"/>
  <c r="H116" i="1"/>
  <c r="H118" i="1"/>
  <c r="I117" i="1"/>
  <c r="I111" i="1"/>
  <c r="J111" i="1"/>
  <c r="H108" i="1"/>
  <c r="H62" i="1"/>
  <c r="H79" i="1"/>
  <c r="H61" i="1"/>
  <c r="H97" i="1"/>
  <c r="H112" i="1"/>
  <c r="H70" i="1"/>
  <c r="H110" i="1"/>
  <c r="H134" i="1"/>
  <c r="H78" i="1"/>
  <c r="J109" i="1"/>
  <c r="J100" i="1"/>
  <c r="H100" i="1" s="1"/>
  <c r="I96" i="1"/>
  <c r="H96" i="1" s="1"/>
  <c r="H98" i="1"/>
  <c r="H99" i="1"/>
  <c r="H67" i="1"/>
  <c r="H76" i="1"/>
  <c r="H57" i="1"/>
  <c r="H65" i="1"/>
  <c r="H74" i="1"/>
  <c r="H105" i="1"/>
  <c r="H124" i="1"/>
  <c r="H68" i="1"/>
  <c r="H101" i="1"/>
  <c r="H120" i="1"/>
  <c r="H136" i="1"/>
  <c r="H63" i="1"/>
  <c r="H69" i="1"/>
  <c r="H130" i="1"/>
  <c r="I72" i="1"/>
  <c r="J64" i="1"/>
  <c r="I53" i="1"/>
  <c r="H53" i="1" s="1"/>
  <c r="I51" i="1"/>
  <c r="H51" i="1" s="1"/>
  <c r="H35" i="1"/>
  <c r="H39" i="1"/>
  <c r="H32" i="1"/>
  <c r="I38" i="1"/>
  <c r="H38" i="1" s="1"/>
  <c r="H37" i="1"/>
  <c r="H34" i="1"/>
  <c r="H36" i="1"/>
  <c r="H33" i="1"/>
  <c r="I27" i="1"/>
  <c r="J27" i="1"/>
  <c r="H104" i="1" l="1"/>
  <c r="H64" i="1"/>
  <c r="H72" i="1"/>
  <c r="H109" i="1"/>
  <c r="H163" i="1"/>
  <c r="H56" i="1"/>
  <c r="H59" i="1"/>
  <c r="H85" i="1"/>
  <c r="I81" i="1"/>
  <c r="J81" i="1"/>
  <c r="H111" i="1"/>
  <c r="H117" i="1"/>
  <c r="H27" i="1"/>
  <c r="H81" i="1" l="1"/>
  <c r="J55" i="1" l="1"/>
  <c r="I55" i="1"/>
  <c r="E55" i="1"/>
  <c r="J54" i="1"/>
  <c r="I54" i="1"/>
  <c r="E54" i="1"/>
  <c r="J52" i="1"/>
  <c r="I52" i="1"/>
  <c r="E52" i="1"/>
  <c r="J50" i="1"/>
  <c r="I50" i="1"/>
  <c r="E50" i="1"/>
  <c r="E49" i="1"/>
  <c r="J48" i="1"/>
  <c r="I48" i="1"/>
  <c r="E48" i="1"/>
  <c r="E47" i="1"/>
  <c r="I47" i="1"/>
  <c r="J46" i="1"/>
  <c r="I46" i="1"/>
  <c r="E46" i="1"/>
  <c r="J45" i="1"/>
  <c r="I45" i="1"/>
  <c r="E45" i="1"/>
  <c r="E44" i="1"/>
  <c r="D44" i="1"/>
  <c r="J42" i="1"/>
  <c r="I42" i="1"/>
  <c r="E42" i="1"/>
  <c r="E41" i="1"/>
  <c r="I41" i="1"/>
  <c r="J31" i="1"/>
  <c r="I31" i="1"/>
  <c r="E31" i="1"/>
  <c r="J30" i="1"/>
  <c r="I30" i="1"/>
  <c r="E30" i="1"/>
  <c r="E29" i="1"/>
  <c r="I29" i="1"/>
  <c r="J26" i="1"/>
  <c r="I26" i="1"/>
  <c r="E26" i="1"/>
  <c r="E25" i="1"/>
  <c r="H50" i="1" l="1"/>
  <c r="H42" i="1"/>
  <c r="H54" i="1"/>
  <c r="H52" i="1"/>
  <c r="H45" i="1"/>
  <c r="H55" i="1"/>
  <c r="H26" i="1"/>
  <c r="H30" i="1"/>
  <c r="H46" i="1"/>
  <c r="H48" i="1"/>
  <c r="H31" i="1"/>
  <c r="J41" i="1"/>
  <c r="H41" i="1" s="1"/>
  <c r="J47" i="1"/>
  <c r="H47" i="1" s="1"/>
  <c r="I25" i="1"/>
  <c r="I166" i="1" s="1"/>
  <c r="I44" i="1"/>
  <c r="I49" i="1"/>
  <c r="J25" i="1"/>
  <c r="J44" i="1"/>
  <c r="J49" i="1"/>
  <c r="J29" i="1"/>
  <c r="H29" i="1" s="1"/>
  <c r="J166" i="1" l="1"/>
  <c r="H44" i="1"/>
  <c r="H49" i="1"/>
  <c r="H25" i="1"/>
  <c r="H166" i="1" s="1"/>
  <c r="H168" i="1" l="1"/>
  <c r="F17" i="1" s="1"/>
  <c r="I168" i="1"/>
  <c r="I167" i="1"/>
  <c r="J167" i="1"/>
  <c r="J168" i="1"/>
  <c r="H167" i="1" l="1"/>
</calcChain>
</file>

<file path=xl/sharedStrings.xml><?xml version="1.0" encoding="utf-8"?>
<sst xmlns="http://schemas.openxmlformats.org/spreadsheetml/2006/main" count="402" uniqueCount="263">
  <si>
    <t>Приложение №___ к договору подряда №_________ от "____"______________20___г.</t>
  </si>
  <si>
    <t>Заказчик</t>
  </si>
  <si>
    <t>Подрядчик</t>
  </si>
  <si>
    <t>Директор ООО "Энергомост"</t>
  </si>
  <si>
    <t>_________________</t>
  </si>
  <si>
    <t>_________________Д.Т. Шарафутдинов</t>
  </si>
  <si>
    <t>(наименование стройки)</t>
  </si>
  <si>
    <t>Смета  №1</t>
  </si>
  <si>
    <t>Сметная стоимость</t>
  </si>
  <si>
    <t>руб.</t>
  </si>
  <si>
    <t xml:space="preserve">№ пп </t>
  </si>
  <si>
    <t>Наименование</t>
  </si>
  <si>
    <t>Ед. изм.</t>
  </si>
  <si>
    <t>Кол.</t>
  </si>
  <si>
    <t>Стоимость единицы, руб.</t>
  </si>
  <si>
    <t>Общая стоимость, руб.</t>
  </si>
  <si>
    <t>Всего</t>
  </si>
  <si>
    <t>В том числе</t>
  </si>
  <si>
    <t>Работа</t>
  </si>
  <si>
    <t>Материалы</t>
  </si>
  <si>
    <t>шт</t>
  </si>
  <si>
    <t xml:space="preserve"> 1.1</t>
  </si>
  <si>
    <t xml:space="preserve"> 2.1</t>
  </si>
  <si>
    <t xml:space="preserve"> 3.1</t>
  </si>
  <si>
    <t xml:space="preserve"> 4.1</t>
  </si>
  <si>
    <t xml:space="preserve"> 5.1</t>
  </si>
  <si>
    <t xml:space="preserve"> 5.2</t>
  </si>
  <si>
    <t xml:space="preserve"> 6.1</t>
  </si>
  <si>
    <t xml:space="preserve"> 7.1</t>
  </si>
  <si>
    <t xml:space="preserve"> 8.1</t>
  </si>
  <si>
    <t xml:space="preserve"> 9.1</t>
  </si>
  <si>
    <t>Итого</t>
  </si>
  <si>
    <t xml:space="preserve">  НДС 22%</t>
  </si>
  <si>
    <t xml:space="preserve">  ВСЕГО по смете</t>
  </si>
  <si>
    <t>Электроснабжение</t>
  </si>
  <si>
    <t>03/02/2025-П ЭОМ</t>
  </si>
  <si>
    <t>Производственно-складское здание №1 по адресу: Московская область, г. Электросталь, ул. Красная, д.19, кадастровый номер земельного участка: 50:46:0010201:566</t>
  </si>
  <si>
    <t> Электрооборудование</t>
  </si>
  <si>
    <t>компл</t>
  </si>
  <si>
    <t>Вводно-распределительное устройство напольного исполнения ВРУ-0,4кВ</t>
  </si>
  <si>
    <t>Монтаж и подключение ВРУ</t>
  </si>
  <si>
    <t>Монтаж и подключение ПЭСПЗ</t>
  </si>
  <si>
    <t>Щит распределительный навесного исполнения IP54, корпус красного цвета ПЭСПЗ</t>
  </si>
  <si>
    <t>Монтаж распределительных щитов навесного исполнения</t>
  </si>
  <si>
    <t>Щит распределительный навесного исполнения ЩОВ</t>
  </si>
  <si>
    <t>Щит распределительный навесного исполнения ЩС1</t>
  </si>
  <si>
    <t>Щит распределительный навесного исполнения ЩС2</t>
  </si>
  <si>
    <t>Щит распределительный навесного исполнения ЩС3</t>
  </si>
  <si>
    <t>Щит распределительный навесного исполнения ЩРз</t>
  </si>
  <si>
    <t>Щит распределительный навесного исполнения ЩНО</t>
  </si>
  <si>
    <t>Щит распределительный навесного исполнения ЩО</t>
  </si>
  <si>
    <t>Щит распределительный навесного исполнения ЩАО</t>
  </si>
  <si>
    <t xml:space="preserve"> 3.2</t>
  </si>
  <si>
    <t xml:space="preserve"> 3.3</t>
  </si>
  <si>
    <t xml:space="preserve"> 3.4</t>
  </si>
  <si>
    <t xml:space="preserve"> 3.5</t>
  </si>
  <si>
    <t xml:space="preserve"> 3.6</t>
  </si>
  <si>
    <t xml:space="preserve"> 3.7</t>
  </si>
  <si>
    <t xml:space="preserve"> 3.8</t>
  </si>
  <si>
    <t>Монтаж ящиков с понижающим трансформатором</t>
  </si>
  <si>
    <t>Ящик с разделительным трансформатором 220/12В, ЯТП-0,25 220/12-2 36 УХЛ4</t>
  </si>
  <si>
    <t> Электроосвещение</t>
  </si>
  <si>
    <t>Светильник светодиодный АЭК-ДСП36-150-002 (150W, 5000K, Г30х90) АЭК</t>
  </si>
  <si>
    <t>Светильник светодиодный АЭК-ДСП39-200-002 (200W, 5000K, Г90) АЭК</t>
  </si>
  <si>
    <t>Монтаж промышленных светодиодных светильников к перекрытиям (подвесных и на скобах)</t>
  </si>
  <si>
    <t>Монтаж линейных промышленных светодиодных светильников</t>
  </si>
  <si>
    <t>Светильник светодиодный АЭК-ДСП35-048-001 (48W, 5000K, Д) АЭК</t>
  </si>
  <si>
    <t>Светильник светодиодный АЭК-ДСП35-036-001 (36W, 5000K, Д, FR) АЭК</t>
  </si>
  <si>
    <t xml:space="preserve"> 6.2</t>
  </si>
  <si>
    <t>Монтаж накладных светодиодных светильников</t>
  </si>
  <si>
    <t>Светильник светодиодный АЭК-ДСП31-048-001 (48W, 5000K, Д, НАКЛАДНОЙ, ОПАЛ) АЭК</t>
  </si>
  <si>
    <t>Светильник светодиодный АЭК-ДВО06-035-001  IP20 АЭК</t>
  </si>
  <si>
    <t>Монтаж пылевлагозащищённых настенных светильников</t>
  </si>
  <si>
    <t>Светильник светодиодный АЭК-ДБО35-020-001 АЭК</t>
  </si>
  <si>
    <t>Монтаж уличных светильников наружного освещения</t>
  </si>
  <si>
    <t>Светильник светодиодный АЭК-ДКУ43-120-002 (120W, 5000K, Ш1, MW) АЭК</t>
  </si>
  <si>
    <t xml:space="preserve"> 10.1</t>
  </si>
  <si>
    <t xml:space="preserve"> 10.2</t>
  </si>
  <si>
    <t>Кронштейн КРТР</t>
  </si>
  <si>
    <t>Монтаж фотореле</t>
  </si>
  <si>
    <t>Фотореле IEK</t>
  </si>
  <si>
    <t xml:space="preserve"> 11.1</t>
  </si>
  <si>
    <t>Кабельная продукция</t>
  </si>
  <si>
    <t>Монтаж кабельных линий распределительной сети</t>
  </si>
  <si>
    <t>м</t>
  </si>
  <si>
    <t xml:space="preserve">Кабель силовой ВВГнг(А)-LS 5х25 мм²  </t>
  </si>
  <si>
    <t xml:space="preserve">Кабель силовой ВВГнг(А)-LS 5х16 мм²  </t>
  </si>
  <si>
    <t xml:space="preserve">Кабель силовой ВВГнг(А)-LS 5х10 мм²  </t>
  </si>
  <si>
    <t xml:space="preserve">Кабель силовой ВВГнг(А)-LS 5х6 мм²  </t>
  </si>
  <si>
    <t xml:space="preserve"> 12.1</t>
  </si>
  <si>
    <t xml:space="preserve"> 12.2</t>
  </si>
  <si>
    <t xml:space="preserve"> 12.3</t>
  </si>
  <si>
    <t xml:space="preserve"> 12.4</t>
  </si>
  <si>
    <t>Монтаж кабельных линий групповой сети</t>
  </si>
  <si>
    <t xml:space="preserve">Кабель силовой ВВГнг(А)-LS 5х4 мм²  </t>
  </si>
  <si>
    <t xml:space="preserve">Кабель силовой ВВГнг(А)-LS 5х2,5 мм²  </t>
  </si>
  <si>
    <t xml:space="preserve">Кабель силовой ВВГнг(А)-LS 3х6 мм²  </t>
  </si>
  <si>
    <t xml:space="preserve">Кабель силовой ВВГнг(А)-LS 3х4 мм²  </t>
  </si>
  <si>
    <t xml:space="preserve">Кабель силовой ВВГнг(А)-LS 3х2,5 мм²  </t>
  </si>
  <si>
    <t xml:space="preserve">Кабель силовой ВВГнг(А)-LS 2х1.5 мм²  </t>
  </si>
  <si>
    <t xml:space="preserve"> 13.1</t>
  </si>
  <si>
    <t xml:space="preserve"> 13.2</t>
  </si>
  <si>
    <t xml:space="preserve"> 13.3</t>
  </si>
  <si>
    <t xml:space="preserve"> 13.4</t>
  </si>
  <si>
    <t xml:space="preserve"> 13.5</t>
  </si>
  <si>
    <t xml:space="preserve"> 13.6</t>
  </si>
  <si>
    <t>Монтаж труб гофрированных ПВХ для защиты проводов и кабелей</t>
  </si>
  <si>
    <t>Труба гофрированная из самозатухающего ПВХ пластика d40 91940 ДКС</t>
  </si>
  <si>
    <t>Труба гофрированная из самозатухающего ПВХ пластика d20 91920 ДКС</t>
  </si>
  <si>
    <t>Держатель трубы 40мм 51040 ДКС</t>
  </si>
  <si>
    <t>Держатель трубы 20мм 51020 ДКС</t>
  </si>
  <si>
    <t xml:space="preserve"> 14.1</t>
  </si>
  <si>
    <t xml:space="preserve"> 14.2</t>
  </si>
  <si>
    <t xml:space="preserve"> 14.3</t>
  </si>
  <si>
    <t xml:space="preserve"> 14.4</t>
  </si>
  <si>
    <t xml:space="preserve">Стяжка кабельная 200х2.5мм  </t>
  </si>
  <si>
    <t xml:space="preserve"> 13.7</t>
  </si>
  <si>
    <t>Монтаж распределительных коробок</t>
  </si>
  <si>
    <t>Коробка распределительная IP55 с кабельными вводами 100х100х50мм 53800 ДКС</t>
  </si>
  <si>
    <t>Клеммники СМК 222-413 ИЭК</t>
  </si>
  <si>
    <t xml:space="preserve"> 15.1</t>
  </si>
  <si>
    <t xml:space="preserve"> 15.2</t>
  </si>
  <si>
    <t>Электроустановочные изделия</t>
  </si>
  <si>
    <t>Корпус поста КП102 для кнопок управления 2 места белый BKP10-2-K01 IEK</t>
  </si>
  <si>
    <t>Кнопка управления AELA-22 "Грибок" d=22мм 1з+1р неон/240В красная BBG20-AELA-K04 IEK</t>
  </si>
  <si>
    <t>Кнопка управления AELA-22 "Грибок" d=22мм 1з+1р неон/240В зеленая BBG20-AELA-K06 IEK</t>
  </si>
  <si>
    <t xml:space="preserve"> 16.1</t>
  </si>
  <si>
    <t xml:space="preserve"> 16.2</t>
  </si>
  <si>
    <t xml:space="preserve"> 16.3</t>
  </si>
  <si>
    <t>Монтаж выключателей</t>
  </si>
  <si>
    <t>Выключатель скрытой установки 1-клавишный белый ВС10-1-0-ВБ 10А ВЕГА EVV10-K01-10-DM IEK</t>
  </si>
  <si>
    <t>Выключатель скрытой установки 2-клавишный белый ВС10-2-0-ВБ 10А ВЕГА EVV20-K01-10-DM IEK</t>
  </si>
  <si>
    <t>Выключатель 1-клавишный для открытой установки IP54 серый ВС20-1-0-ФСр ФОРС EVS10-K03-10-54-DC IEK</t>
  </si>
  <si>
    <t xml:space="preserve"> 17.1</t>
  </si>
  <si>
    <t xml:space="preserve"> 17.2</t>
  </si>
  <si>
    <t xml:space="preserve"> 17.3</t>
  </si>
  <si>
    <t>Монтаж розеток</t>
  </si>
  <si>
    <t>Розетка 1-местная с заземляющим контактом без защитной шторки 16А ВЕГА белый РС10-3-ВБ ERV11-K01-16-DM IEK</t>
  </si>
  <si>
    <t>Розетка 1-местная для открытой установки IP54 серый РСб20-3-ФСр ФОРС ERS12-K03-16-54-DC IEK</t>
  </si>
  <si>
    <t xml:space="preserve"> 18.1</t>
  </si>
  <si>
    <t xml:space="preserve"> 18.2</t>
  </si>
  <si>
    <t>Установка монтажных коробок</t>
  </si>
  <si>
    <t>Монтажная коробка в стену IEK</t>
  </si>
  <si>
    <t xml:space="preserve"> 19.1</t>
  </si>
  <si>
    <t>Розетка 1-местная в кабель канал 2P+E со шторками красная 45015 ДКС</t>
  </si>
  <si>
    <t>Розетка 1-местная в кабель канал 2P+E со шторками белая 45005 ДКС</t>
  </si>
  <si>
    <t>Монтаж коробов пластмассовых шириной до 100 мм</t>
  </si>
  <si>
    <t>Короб с крышкой с направляющими для установки разделителей TA-GN 100x60мм  ДКС</t>
  </si>
  <si>
    <t xml:space="preserve"> 20.1</t>
  </si>
  <si>
    <t>Металлические лотки</t>
  </si>
  <si>
    <t>Лоток перфорированный 400х50х3000мм 35266 ДКС</t>
  </si>
  <si>
    <t>Лоток перфорированный 200х50х3000мм 35264 ДКС</t>
  </si>
  <si>
    <t>Лоток перфорированный 100х50х3000мм 35262 ДКС</t>
  </si>
  <si>
    <t>Угол CPO 90 горизонтальный 400х50мм 36006 ДКС</t>
  </si>
  <si>
    <t>Угол CPO 90 горизонтальный 200х50мм 36004 ДКС</t>
  </si>
  <si>
    <t>Угол CPO 90 горизонтальный 100х50мм 36002 ДКС</t>
  </si>
  <si>
    <t>Угол CD 90 вертикальный внеш. 90° 200x50мм 36784 ДКС</t>
  </si>
  <si>
    <t>Угол CD 90 вертикальный внеш. 90° 100x50мм 36782 ДКС</t>
  </si>
  <si>
    <t>Ответвитель DL 200х50мм 36237 ДКС</t>
  </si>
  <si>
    <t>Ответвитель DL 100х50мм 36235 ДКС</t>
  </si>
  <si>
    <t xml:space="preserve"> 21.1</t>
  </si>
  <si>
    <t xml:space="preserve"> 21.2</t>
  </si>
  <si>
    <t xml:space="preserve"> 21.3</t>
  </si>
  <si>
    <t>Стеновое крепление лотка (кронштейн) LP5000 ДКС</t>
  </si>
  <si>
    <t>Крепление к профнастилу V-образное M8 CM330800 ДКС</t>
  </si>
  <si>
    <t>Профиль П-образный PSL 29х48х3000 BPL2930 ДКС</t>
  </si>
  <si>
    <t>Шпилька резьбовая М8х1000мм СМ200801 ДКС</t>
  </si>
  <si>
    <t>Стандартный анкер с болтом М8 CM430850 ДКС</t>
  </si>
  <si>
    <t>Гайка с насечкой, препятствующей откручиванию М8 СМ100800 ДКС</t>
  </si>
  <si>
    <t>Шайба кузовная М8 СМ120800 ДКС</t>
  </si>
  <si>
    <t>Винт М6х10 с крестообразным шлицем CM010610 ДКС</t>
  </si>
  <si>
    <t>Гайка М6 с насечкой препятствующей откручиванию CM100600 ДКС</t>
  </si>
  <si>
    <t>Пластина монтажная вертикальная LP3000 ДКС</t>
  </si>
  <si>
    <t>Сталь круглая диаметр 8мм NC1008 ДКС</t>
  </si>
  <si>
    <t xml:space="preserve"> 22.1</t>
  </si>
  <si>
    <t xml:space="preserve"> 23.1</t>
  </si>
  <si>
    <t>Комплект вертикального заземлителя безмуфтовый, 3 м, D16 мм NE1103 ДКС</t>
  </si>
  <si>
    <t>Универсальный соединитель NG3103 ДКС</t>
  </si>
  <si>
    <t>Трос алюминиевый, 50 мм2 NC3050 ДКС</t>
  </si>
  <si>
    <t>Универсальный пластиковый держатель с бетоном ND1000 ДКС</t>
  </si>
  <si>
    <t>Сталь полосовая 40х4мм NC2444 ДКС</t>
  </si>
  <si>
    <t>Сталь полосовая 25х4мм NC2254 ДКС</t>
  </si>
  <si>
    <t>Скоба-держатель ND2310 ДКС</t>
  </si>
  <si>
    <t xml:space="preserve"> 24.1</t>
  </si>
  <si>
    <t>Соединитель полоса - полоса, 80х80 мм NG3105 ДКС</t>
  </si>
  <si>
    <t>Соединитель пруток-полоса с разделительной пластиной, 57x80 мм NG3101 ДКС</t>
  </si>
  <si>
    <t xml:space="preserve"> 25.1</t>
  </si>
  <si>
    <t xml:space="preserve"> 25.4</t>
  </si>
  <si>
    <t>Универсальный держатель ND2000 ДКС</t>
  </si>
  <si>
    <t>Монтаж коробок уравнивания потенциалов</t>
  </si>
  <si>
    <t>Коробки уравнивания потенциалов (КУП)</t>
  </si>
  <si>
    <t>Провод одножильный с гибкой медной жилой с ПВХ-изоляцией сеч. 25мм2 ПуГВнг(А)-LS-1х25</t>
  </si>
  <si>
    <t xml:space="preserve"> 26.1</t>
  </si>
  <si>
    <t>Кабельный наконечник ТМЛ-25-8-7</t>
  </si>
  <si>
    <t xml:space="preserve"> 26.2</t>
  </si>
  <si>
    <t>Провод одножильный с гибкой медной жилой с ПВХ-изоляцией сеч. 4мм2 ПуГВнг(А)-LS-1х4</t>
  </si>
  <si>
    <t xml:space="preserve"> 27.1</t>
  </si>
  <si>
    <t>Кабельный наконечник ТМЛ-4-5-3</t>
  </si>
  <si>
    <t>Огнестойкие кабельные линии</t>
  </si>
  <si>
    <t xml:space="preserve">Кабель силовой огнестойкий ВВГнг(А)-FRLS 1х240 мм²   </t>
  </si>
  <si>
    <t xml:space="preserve">Кабель силовой огнестойкий ВВГнг(А)-FRLS 5х6 мм²   </t>
  </si>
  <si>
    <t xml:space="preserve">Кабель силовой огнестойкий ВВГнг(А)-FRLS 5х4 мм²   </t>
  </si>
  <si>
    <t xml:space="preserve">Кабель силовой огнестойкий ВВГнг(А)-FRLS 5х2,5 мм²   </t>
  </si>
  <si>
    <t xml:space="preserve">Кабель силовой огнестойкий ВВГнг(А)-FRLS 3х2,5 мм²   </t>
  </si>
  <si>
    <t xml:space="preserve">Кабель силовой огнестойкий ВВГнг(А)-FRLS 2х1,5 мм²   </t>
  </si>
  <si>
    <t>Труба ПЛЛ гибкая гофр. не содержит галогенов д.25мм, ПВ-0, спротяжкой,50м, цвет белый 81825 ДКС</t>
  </si>
  <si>
    <t>Держатель оцинкованный односторонний, д.25мм с крепежным отверстием 8,5х6 мм 53334 ДКС</t>
  </si>
  <si>
    <t>Муфта для труб гофрированных, IP40, д.25мм 50825 ДКС</t>
  </si>
  <si>
    <t xml:space="preserve"> 18.3</t>
  </si>
  <si>
    <t>Коробка пластиковая FS с кабельными вводами и клеммниками, IP55,100х100х50 мм, 5р, 450V, 10A, 6 мм2 FSB11506 ДКС</t>
  </si>
  <si>
    <t xml:space="preserve"> 20.2</t>
  </si>
  <si>
    <t xml:space="preserve"> 20.3</t>
  </si>
  <si>
    <t xml:space="preserve"> 22.2</t>
  </si>
  <si>
    <t xml:space="preserve"> 22.3</t>
  </si>
  <si>
    <t xml:space="preserve"> 22.4</t>
  </si>
  <si>
    <t xml:space="preserve"> 26.3</t>
  </si>
  <si>
    <t xml:space="preserve"> 26.4</t>
  </si>
  <si>
    <t xml:space="preserve"> 26.5</t>
  </si>
  <si>
    <t xml:space="preserve"> 26.6</t>
  </si>
  <si>
    <t xml:space="preserve"> 26.7</t>
  </si>
  <si>
    <t xml:space="preserve"> 26.8</t>
  </si>
  <si>
    <t xml:space="preserve"> 28.1</t>
  </si>
  <si>
    <t xml:space="preserve"> 29.1</t>
  </si>
  <si>
    <t xml:space="preserve"> 29.2</t>
  </si>
  <si>
    <t xml:space="preserve"> 30.1</t>
  </si>
  <si>
    <t xml:space="preserve"> 30.2</t>
  </si>
  <si>
    <t xml:space="preserve"> 30.3</t>
  </si>
  <si>
    <t xml:space="preserve"> 30.4</t>
  </si>
  <si>
    <t xml:space="preserve"> 30.5</t>
  </si>
  <si>
    <t xml:space="preserve"> 31.1</t>
  </si>
  <si>
    <t xml:space="preserve"> 32.1</t>
  </si>
  <si>
    <t xml:space="preserve"> 32.2</t>
  </si>
  <si>
    <t xml:space="preserve"> 33.1</t>
  </si>
  <si>
    <t xml:space="preserve"> 31.2</t>
  </si>
  <si>
    <t>Установка металлических конструкций для монтажа кабельных лотков</t>
  </si>
  <si>
    <t>Монтаж кнопочных постов управления</t>
  </si>
  <si>
    <t xml:space="preserve"> 33.2</t>
  </si>
  <si>
    <t xml:space="preserve"> 34.1</t>
  </si>
  <si>
    <t>Монтаж узлов термокомпенсации из тросовых перемычек диаметром 8 мм.</t>
  </si>
  <si>
    <t>Монтаж горизонтального заземлителя из полосовой  стали сечением 160 мм2</t>
  </si>
  <si>
    <t> Заземление</t>
  </si>
  <si>
    <t>Молниезащита</t>
  </si>
  <si>
    <t>Монтаж проводников основной системы уравнивания потенциалов из медного изолированного провода сечением 25 мм2</t>
  </si>
  <si>
    <t>Монтаж проводников дополнительной системы уравнивания потенциалов из медного изолированного провода сечением 4 мм2</t>
  </si>
  <si>
    <t>Монтаж проводников дополнительной системы уравнивания потенциалов из полосовой стали сечением 100 мм2</t>
  </si>
  <si>
    <t>Монтаж проводников молниезащиты из круглой стали диаметром 8 мм</t>
  </si>
  <si>
    <t>Монтаж вертикальных заземлителей из круглой стали диаметром 16 мм.</t>
  </si>
  <si>
    <t>Уравнивание потенциалов</t>
  </si>
  <si>
    <t>Монтаж лотков металлических подвешиваемых к конструкциям на отм. +2.800</t>
  </si>
  <si>
    <t>Монтаж лотков металлических подвешиваемых к конструкциям на шпильках на отм. +8.200</t>
  </si>
  <si>
    <t xml:space="preserve"> 27.2</t>
  </si>
  <si>
    <t xml:space="preserve"> 27.3</t>
  </si>
  <si>
    <t xml:space="preserve"> 27.4</t>
  </si>
  <si>
    <t xml:space="preserve"> 27.5</t>
  </si>
  <si>
    <t xml:space="preserve"> 27.6</t>
  </si>
  <si>
    <t xml:space="preserve"> 27.7</t>
  </si>
  <si>
    <t xml:space="preserve"> 27.8</t>
  </si>
  <si>
    <t xml:space="preserve"> 27.9</t>
  </si>
  <si>
    <t xml:space="preserve"> 27.10</t>
  </si>
  <si>
    <t xml:space="preserve"> 34.2</t>
  </si>
  <si>
    <t xml:space="preserve"> 35.1</t>
  </si>
  <si>
    <t>Монтаж потолочных офисных светодиодных светильников</t>
  </si>
  <si>
    <t>ПНР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</si>
</sst>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10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i/>
      <sz val="14"/>
      <name val="Times New Roman"/>
      <family val="1"/>
      <charset val="204"/>
    </font>
    <font>
      <b/>
      <sz val="12"/>
      <name val="Calibri"/>
      <family val="2"/>
      <scheme val="minor"/>
    </font>
    <font>
      <b/>
      <i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164" fontId="4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1" applyFont="1" applyFill="1" applyAlignment="1">
      <alignment horizontal="center" vertical="center" wrapText="1"/>
    </xf>
    <xf numFmtId="4" fontId="2" fillId="0" borderId="0" xfId="1" applyNumberFormat="1" applyFont="1" applyFill="1" applyAlignment="1">
      <alignment vertical="center"/>
    </xf>
    <xf numFmtId="4" fontId="2" fillId="0" borderId="0" xfId="1" applyNumberFormat="1" applyFont="1" applyFill="1" applyAlignment="1">
      <alignment horizontal="left" vertical="center"/>
    </xf>
    <xf numFmtId="4" fontId="2" fillId="0" borderId="0" xfId="1" applyNumberFormat="1" applyFont="1" applyFill="1" applyAlignment="1">
      <alignment horizontal="right" vertical="center" wrapText="1"/>
    </xf>
    <xf numFmtId="4" fontId="3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horizontal="left" vertical="center" wrapText="1"/>
    </xf>
    <xf numFmtId="0" fontId="6" fillId="0" borderId="0" xfId="1" applyFont="1" applyFill="1" applyAlignment="1">
      <alignment vertical="center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4" fontId="2" fillId="0" borderId="0" xfId="1" applyNumberFormat="1" applyFont="1" applyFill="1" applyAlignment="1">
      <alignment horizontal="left" vertical="center" wrapText="1"/>
    </xf>
    <xf numFmtId="0" fontId="8" fillId="0" borderId="0" xfId="2" applyFont="1" applyFill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4" fontId="3" fillId="0" borderId="2" xfId="1" applyNumberFormat="1" applyFont="1" applyFill="1" applyBorder="1" applyAlignment="1">
      <alignment horizontal="right" vertical="center" wrapText="1"/>
    </xf>
    <xf numFmtId="4" fontId="2" fillId="0" borderId="2" xfId="1" applyNumberFormat="1" applyFont="1" applyFill="1" applyBorder="1" applyAlignment="1">
      <alignment horizontal="right" vertical="center" wrapText="1"/>
    </xf>
    <xf numFmtId="4" fontId="2" fillId="0" borderId="2" xfId="1" applyNumberFormat="1" applyFont="1" applyFill="1" applyBorder="1" applyAlignment="1">
      <alignment horizontal="center" vertical="center" wrapText="1"/>
    </xf>
    <xf numFmtId="0" fontId="2" fillId="0" borderId="0" xfId="1" applyFont="1" applyFill="1" applyAlignment="1">
      <alignment horizontal="center" vertical="center"/>
    </xf>
    <xf numFmtId="4" fontId="2" fillId="0" borderId="0" xfId="1" applyNumberFormat="1" applyFont="1" applyFill="1" applyAlignment="1">
      <alignment horizontal="right" vertical="center"/>
    </xf>
    <xf numFmtId="0" fontId="2" fillId="0" borderId="2" xfId="1" applyFont="1" applyFill="1" applyBorder="1" applyAlignment="1">
      <alignment horizontal="center" vertical="center" wrapText="1"/>
    </xf>
    <xf numFmtId="0" fontId="2" fillId="0" borderId="0" xfId="1" applyFont="1" applyFill="1" applyAlignment="1">
      <alignment horizontal="left" vertical="center"/>
    </xf>
    <xf numFmtId="0" fontId="5" fillId="0" borderId="0" xfId="2" applyFont="1" applyFill="1" applyAlignment="1">
      <alignment vertical="center"/>
    </xf>
    <xf numFmtId="0" fontId="2" fillId="0" borderId="2" xfId="1" applyFont="1" applyFill="1" applyBorder="1" applyAlignment="1">
      <alignment horizontal="left" vertical="center" wrapText="1"/>
    </xf>
    <xf numFmtId="4" fontId="3" fillId="0" borderId="2" xfId="1" applyNumberFormat="1" applyFont="1" applyFill="1" applyBorder="1" applyAlignment="1">
      <alignment horizontal="center" vertical="center" wrapText="1"/>
    </xf>
    <xf numFmtId="16" fontId="7" fillId="0" borderId="2" xfId="1" applyNumberFormat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horizontal="center" vertical="center" wrapText="1"/>
    </xf>
    <xf numFmtId="4" fontId="9" fillId="0" borderId="2" xfId="1" applyNumberFormat="1" applyFont="1" applyFill="1" applyBorder="1" applyAlignment="1">
      <alignment horizontal="center" vertical="center" wrapText="1"/>
    </xf>
    <xf numFmtId="4" fontId="7" fillId="0" borderId="2" xfId="1" applyNumberFormat="1" applyFont="1" applyFill="1" applyBorder="1" applyAlignment="1">
      <alignment horizontal="center" vertical="center" wrapText="1"/>
    </xf>
    <xf numFmtId="4" fontId="9" fillId="0" borderId="2" xfId="1" applyNumberFormat="1" applyFont="1" applyFill="1" applyBorder="1" applyAlignment="1">
      <alignment horizontal="right" vertical="center" wrapText="1"/>
    </xf>
    <xf numFmtId="4" fontId="7" fillId="0" borderId="2" xfId="1" applyNumberFormat="1" applyFont="1" applyFill="1" applyBorder="1" applyAlignment="1">
      <alignment horizontal="right" vertical="center" wrapText="1"/>
    </xf>
    <xf numFmtId="4" fontId="5" fillId="0" borderId="0" xfId="2" applyNumberFormat="1" applyFont="1" applyFill="1" applyAlignment="1">
      <alignment horizontal="center" vertical="center"/>
    </xf>
    <xf numFmtId="0" fontId="5" fillId="0" borderId="0" xfId="2" applyNumberFormat="1" applyFont="1" applyFill="1" applyAlignment="1">
      <alignment horizontal="center" vertical="center" wrapText="1"/>
    </xf>
    <xf numFmtId="0" fontId="5" fillId="0" borderId="0" xfId="2" applyFont="1" applyFill="1" applyAlignment="1">
      <alignment horizontal="left" vertical="center" wrapText="1"/>
    </xf>
    <xf numFmtId="0" fontId="5" fillId="0" borderId="0" xfId="2" applyFont="1" applyFill="1" applyAlignment="1">
      <alignment horizontal="center" vertical="center" wrapText="1"/>
    </xf>
    <xf numFmtId="164" fontId="5" fillId="0" borderId="0" xfId="3" applyFont="1" applyFill="1" applyAlignment="1">
      <alignment horizontal="center" vertical="center"/>
    </xf>
    <xf numFmtId="0" fontId="2" fillId="0" borderId="3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>
      <alignment horizontal="left" vertical="center" wrapText="1"/>
    </xf>
    <xf numFmtId="0" fontId="2" fillId="0" borderId="5" xfId="1" applyFont="1" applyFill="1" applyBorder="1" applyAlignment="1">
      <alignment horizontal="left" vertical="center" wrapText="1"/>
    </xf>
    <xf numFmtId="4" fontId="2" fillId="0" borderId="2" xfId="1" applyNumberFormat="1" applyFont="1" applyFill="1" applyBorder="1" applyAlignment="1">
      <alignment horizontal="center" vertical="center" wrapText="1"/>
    </xf>
    <xf numFmtId="0" fontId="2" fillId="0" borderId="0" xfId="1" applyFont="1" applyFill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4" fontId="2" fillId="0" borderId="0" xfId="1" applyNumberFormat="1" applyFont="1" applyFill="1" applyAlignment="1">
      <alignment horizontal="right" vertical="center"/>
    </xf>
    <xf numFmtId="0" fontId="2" fillId="0" borderId="2" xfId="1" applyFont="1" applyFill="1" applyBorder="1" applyAlignment="1">
      <alignment horizontal="center" vertical="center" wrapText="1"/>
    </xf>
    <xf numFmtId="4" fontId="2" fillId="0" borderId="3" xfId="1" applyNumberFormat="1" applyFont="1" applyFill="1" applyBorder="1" applyAlignment="1">
      <alignment horizontal="center" vertical="center" wrapText="1"/>
    </xf>
    <xf numFmtId="4" fontId="2" fillId="0" borderId="4" xfId="1" applyNumberFormat="1" applyFont="1" applyFill="1" applyBorder="1" applyAlignment="1">
      <alignment horizontal="center" vertical="center" wrapText="1"/>
    </xf>
    <xf numFmtId="4" fontId="2" fillId="0" borderId="5" xfId="1" applyNumberFormat="1" applyFont="1" applyFill="1" applyBorder="1" applyAlignment="1">
      <alignment horizontal="center" vertical="center" wrapText="1"/>
    </xf>
    <xf numFmtId="4" fontId="2" fillId="0" borderId="6" xfId="1" applyNumberFormat="1" applyFont="1" applyFill="1" applyBorder="1" applyAlignment="1">
      <alignment horizontal="center" vertical="center" wrapText="1"/>
    </xf>
    <xf numFmtId="4" fontId="2" fillId="0" borderId="7" xfId="1" applyNumberFormat="1" applyFont="1" applyFill="1" applyBorder="1" applyAlignment="1">
      <alignment horizontal="center" vertical="center" wrapText="1"/>
    </xf>
    <xf numFmtId="4" fontId="2" fillId="0" borderId="8" xfId="1" applyNumberFormat="1" applyFont="1" applyFill="1" applyBorder="1" applyAlignment="1">
      <alignment horizontal="center" vertical="center" wrapText="1"/>
    </xf>
    <xf numFmtId="0" fontId="3" fillId="0" borderId="0" xfId="1" applyFont="1" applyFill="1" applyAlignment="1">
      <alignment horizontal="center" vertical="center"/>
    </xf>
    <xf numFmtId="4" fontId="3" fillId="0" borderId="0" xfId="1" applyNumberFormat="1" applyFont="1" applyFill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0" fontId="6" fillId="0" borderId="1" xfId="1" applyFont="1" applyFill="1" applyBorder="1" applyAlignment="1">
      <alignment horizontal="center" vertical="center" wrapText="1"/>
    </xf>
    <xf numFmtId="0" fontId="7" fillId="0" borderId="0" xfId="1" applyFont="1" applyFill="1" applyAlignment="1">
      <alignment horizontal="center" vertical="center"/>
    </xf>
  </cellXfs>
  <cellStyles count="4">
    <cellStyle name="Обычный" xfId="0" builtinId="0"/>
    <cellStyle name="Обычный 2" xfId="2" xr:uid="{00000000-0005-0000-0000-000001000000}"/>
    <cellStyle name="Обычный 3 2" xfId="1" xr:uid="{00000000-0005-0000-0000-000002000000}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254.254.51\&#1089;&#1077;&#1090;&#1077;&#1074;&#1072;&#1103;\Cloud\Asket%20Group\&#1040;&#1056;&#1061;&#1048;&#1042;\&#1069;&#1085;&#1077;&#1088;&#1075;&#1086;-&#1050;&#1086;&#1084;&#1087;&#1083;&#1077;&#1082;&#1090;-&#1057;&#1077;&#1088;&#1074;&#1080;&#1089;\&#1057;&#1080;&#1073;&#1079;&#1072;&#1088;&#1091;&#1073;&#1077;&#1078;\&#1047;&#1040;&#1055;&#1059;&#1057;&#1050;%20&#1042;&#1056;&#1059;%20(&#1086;&#1090;&#1076;&#1077;&#1083;&#1100;&#1085;&#1099;&#1081;%20&#1076;&#1086;&#1075;&#1086;&#1074;&#1086;&#1088;)%20&#1056;&#1072;&#1089;&#1095;&#1105;&#1090;%20&#8470;%201479&#1055;&#1056;&#1050;&#1058;157%20ABB%20&#1086;&#1090;%2015.12.201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1С"/>
      <sheetName val="Запуск"/>
      <sheetName val="КП ЭКС"/>
      <sheetName val="Сборка"/>
      <sheetName val="Для КП"/>
      <sheetName val="Вывод"/>
      <sheetName val="Таблица замен"/>
      <sheetName val="Спецификация"/>
      <sheetName val="Расчет"/>
      <sheetName val="Полезное"/>
      <sheetName val=".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C3" t="str">
            <v>ВРУ1 ВП1</v>
          </cell>
        </row>
      </sheetData>
      <sheetData sheetId="7"/>
      <sheetData sheetId="8"/>
      <sheetData sheetId="9"/>
      <sheetData sheetId="10"/>
      <sheetData sheetId="11">
        <row r="10">
          <cell r="A10" t="str">
            <v>Metel</v>
          </cell>
          <cell r="B10" t="str">
            <v>Да</v>
          </cell>
          <cell r="C10" t="str">
            <v>Ведяйкин А.С.</v>
          </cell>
          <cell r="E10" t="str">
            <v>NDC Engineering</v>
          </cell>
          <cell r="G10" t="str">
            <v>Возможна доставка</v>
          </cell>
          <cell r="J10" t="str">
            <v>Уточняется</v>
          </cell>
          <cell r="M10" t="str">
            <v>Жилой дом</v>
          </cell>
          <cell r="O10" t="str">
            <v>Гладких А.О.</v>
          </cell>
          <cell r="Q10" t="str">
            <v>Арешкин Д.В.</v>
          </cell>
          <cell r="U10" t="str">
            <v>Бутаков Сергей 916-035-45-15 butakov@eks-m.ru</v>
          </cell>
        </row>
        <row r="11">
          <cell r="A11" t="str">
            <v>Schneider</v>
          </cell>
          <cell r="B11" t="str">
            <v>Нет</v>
          </cell>
          <cell r="C11" t="str">
            <v>Жаров А.В.</v>
          </cell>
          <cell r="E11" t="str">
            <v>Группа «Астерос»</v>
          </cell>
          <cell r="G11" t="str">
            <v>Доставка до объекта</v>
          </cell>
          <cell r="J11" t="str">
            <v>По запросу</v>
          </cell>
          <cell r="M11" t="str">
            <v>г.о. Химки Московской области, микрорайон Новогорск</v>
          </cell>
          <cell r="O11" t="str">
            <v>Дугушкина Е.Г.</v>
          </cell>
          <cell r="Q11" t="str">
            <v>Бутаков С.И.</v>
          </cell>
          <cell r="U11" t="str">
            <v>Арешкин Дмитрий 916-035-53-00 areshkin@eks-m.ru</v>
          </cell>
        </row>
        <row r="12">
          <cell r="A12" t="str">
            <v>Legrand</v>
          </cell>
          <cell r="C12" t="str">
            <v>Молин А.А.</v>
          </cell>
          <cell r="E12" t="str">
            <v xml:space="preserve">ЗИДарт </v>
          </cell>
          <cell r="G12" t="str">
            <v>Без учета доставки</v>
          </cell>
          <cell r="J12" t="str">
            <v>10    Рабочих Дней</v>
          </cell>
          <cell r="M12" t="str">
            <v>Не указан</v>
          </cell>
          <cell r="O12" t="str">
            <v>Первушина Н.С.</v>
          </cell>
          <cell r="Q12" t="str">
            <v>Васин А.Ю.</v>
          </cell>
          <cell r="U12" t="str">
            <v>Калинина Светлана 916-035-55-15 kalinina@eks-m.ru</v>
          </cell>
        </row>
        <row r="13">
          <cell r="A13" t="str">
            <v>ABB</v>
          </cell>
          <cell r="C13" t="str">
            <v>Никитин И.Н.</v>
          </cell>
          <cell r="E13" t="str">
            <v xml:space="preserve">МДЖ-Строй </v>
          </cell>
          <cell r="G13" t="str">
            <v>Завод изготовитель</v>
          </cell>
          <cell r="J13" t="str">
            <v>10-15    Рабочих Дней</v>
          </cell>
          <cell r="O13" t="str">
            <v>Старикова О.В.</v>
          </cell>
          <cell r="Q13" t="str">
            <v>Ганус Н.В.</v>
          </cell>
          <cell r="U13" t="str">
            <v>Пересунько Павел 916-026-49-00 peresunko@eks-m.ru</v>
          </cell>
        </row>
        <row r="14">
          <cell r="A14" t="str">
            <v>ЭКФ</v>
          </cell>
          <cell r="C14" t="str">
            <v>Павлов В.Л.</v>
          </cell>
          <cell r="E14" t="str">
            <v xml:space="preserve">Монолит Спецавтоматика </v>
          </cell>
          <cell r="G14" t="str">
            <v>г.о. Химки Московской области, микрорайон Новогорск</v>
          </cell>
          <cell r="J14" t="str">
            <v>15    Рабочих Дней</v>
          </cell>
          <cell r="O14" t="str">
            <v>Андросова Е.</v>
          </cell>
          <cell r="Q14" t="str">
            <v>Гладких А.О.</v>
          </cell>
          <cell r="U14" t="str">
            <v>Ломов Константин 925-585-00-11 lomov@eks-m.ru</v>
          </cell>
        </row>
        <row r="15">
          <cell r="A15" t="str">
            <v>TDM</v>
          </cell>
          <cell r="C15" t="str">
            <v>Смирнов С.А.</v>
          </cell>
          <cell r="E15" t="str">
            <v>КРОСТ</v>
          </cell>
          <cell r="J15" t="str">
            <v>15-20    Рабочих Дней</v>
          </cell>
          <cell r="O15" t="str">
            <v>Пронин Г.</v>
          </cell>
          <cell r="Q15" t="str">
            <v>Глинков А.В.</v>
          </cell>
          <cell r="U15" t="str">
            <v>Иноземцев Денис 916-026-40-89 inozemtsev@eks-m.ru</v>
          </cell>
        </row>
        <row r="16">
          <cell r="A16" t="str">
            <v>IEK</v>
          </cell>
          <cell r="C16" t="str">
            <v>Торопов А.Н.</v>
          </cell>
          <cell r="E16" t="str">
            <v>Олекс Холдинг</v>
          </cell>
          <cell r="J16" t="str">
            <v>20    Рабочих Дней</v>
          </cell>
          <cell r="Q16" t="str">
            <v>Калинина С.Л.</v>
          </cell>
          <cell r="U16" t="str">
            <v>Пронин Герман 925-985-00-51 pronin@eks-m.ru</v>
          </cell>
        </row>
        <row r="17">
          <cell r="A17" t="str">
            <v>Chint</v>
          </cell>
          <cell r="C17" t="str">
            <v>Чагин А.М.</v>
          </cell>
          <cell r="E17" t="str">
            <v>Промэнерго-М</v>
          </cell>
          <cell r="J17" t="str">
            <v>20-25    Рабочих Дней</v>
          </cell>
          <cell r="Q17" t="str">
            <v>Ковалев А.И.</v>
          </cell>
          <cell r="U17" t="str">
            <v>Гладких Александр 916-026-49-10 9335370@eks-m.ru</v>
          </cell>
        </row>
        <row r="18">
          <cell r="A18" t="str">
            <v>Eaton</v>
          </cell>
          <cell r="C18" t="str">
            <v>Чесноков М.А.</v>
          </cell>
          <cell r="E18" t="str">
            <v xml:space="preserve">РДА </v>
          </cell>
          <cell r="J18" t="str">
            <v>25    Рабочих Дней</v>
          </cell>
          <cell r="Q18" t="str">
            <v>Пересунько П.В.</v>
          </cell>
          <cell r="U18" t="str">
            <v>Андросова Елена 926-641-83-80 androsova@eks-m.ru</v>
          </cell>
        </row>
        <row r="19">
          <cell r="A19" t="str">
            <v>DKC</v>
          </cell>
          <cell r="C19" t="str">
            <v>Шаблов И.С.</v>
          </cell>
          <cell r="E19" t="str">
            <v xml:space="preserve">Рокса </v>
          </cell>
          <cell r="J19" t="str">
            <v>25-30    Рабочих Дней</v>
          </cell>
          <cell r="U19" t="str">
            <v>Старикова Оксана 916-035-56-10 starikova@eks-m.ru</v>
          </cell>
        </row>
        <row r="20">
          <cell r="A20" t="str">
            <v>LS</v>
          </cell>
          <cell r="C20" t="str">
            <v>Яблоков А.В.</v>
          </cell>
          <cell r="E20" t="str">
            <v>ЭМКО</v>
          </cell>
          <cell r="J20" t="str">
            <v>30    Рабочих Дней</v>
          </cell>
          <cell r="U20" t="str">
            <v>-</v>
          </cell>
        </row>
        <row r="21">
          <cell r="A21" t="str">
            <v>Rittal</v>
          </cell>
          <cell r="E21" t="str">
            <v>Русский Свет</v>
          </cell>
          <cell r="J21" t="str">
            <v>30-35    Рабочих Дней</v>
          </cell>
        </row>
        <row r="22">
          <cell r="A22" t="str">
            <v>Tekfor</v>
          </cell>
          <cell r="E22" t="str">
            <v>Теплоспектр-С</v>
          </cell>
        </row>
        <row r="23">
          <cell r="A23" t="str">
            <v>Россия</v>
          </cell>
          <cell r="E23" t="str">
            <v>ТЕКТА GROUP</v>
          </cell>
        </row>
        <row r="24">
          <cell r="A24" t="str">
            <v>КЭАЗ</v>
          </cell>
          <cell r="E24" t="str">
            <v>Техно-Николь</v>
          </cell>
        </row>
        <row r="25">
          <cell r="A25" t="str">
            <v>Siemens</v>
          </cell>
          <cell r="E25" t="str">
            <v xml:space="preserve">ТМК-Строй </v>
          </cell>
        </row>
        <row r="26">
          <cell r="A26" t="str">
            <v>Декрафт</v>
          </cell>
          <cell r="E26" t="str">
            <v>ЭнергоТеплострой ХХI</v>
          </cell>
        </row>
        <row r="27">
          <cell r="A27" t="str">
            <v>Контактор</v>
          </cell>
          <cell r="E27" t="str">
            <v>ЭнергоТехИнжиниринг</v>
          </cell>
        </row>
        <row r="28">
          <cell r="A28" t="str">
            <v>Hager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FF33"/>
    <outlinePr summaryBelow="0" summaryRight="0"/>
  </sheetPr>
  <dimension ref="A1:J168"/>
  <sheetViews>
    <sheetView tabSelected="1" topLeftCell="A106" zoomScaleNormal="100" workbookViewId="0">
      <selection activeCell="G110" sqref="G110"/>
    </sheetView>
  </sheetViews>
  <sheetFormatPr defaultColWidth="9.21875" defaultRowHeight="15.6" x14ac:dyDescent="0.3"/>
  <cols>
    <col min="1" max="1" width="10.77734375" style="33" customWidth="1"/>
    <col min="2" max="2" width="44.33203125" style="34" customWidth="1"/>
    <col min="3" max="4" width="10.77734375" style="35" customWidth="1"/>
    <col min="5" max="7" width="15.77734375" style="36" customWidth="1"/>
    <col min="8" max="8" width="20.77734375" style="36" customWidth="1"/>
    <col min="9" max="10" width="15.77734375" style="36" customWidth="1"/>
    <col min="11" max="16384" width="9.21875" style="22"/>
  </cols>
  <sheetData>
    <row r="1" spans="1:10" ht="18" x14ac:dyDescent="0.3">
      <c r="A1" s="18"/>
      <c r="B1" s="1"/>
      <c r="C1" s="1"/>
      <c r="D1" s="18"/>
      <c r="E1" s="2"/>
      <c r="F1" s="19"/>
      <c r="G1" s="3"/>
      <c r="H1" s="4"/>
      <c r="I1" s="19"/>
      <c r="J1" s="5" t="s">
        <v>0</v>
      </c>
    </row>
    <row r="2" spans="1:10" ht="18" x14ac:dyDescent="0.3">
      <c r="A2" s="18"/>
      <c r="B2" s="1"/>
      <c r="C2" s="1"/>
      <c r="D2" s="18"/>
      <c r="E2" s="2"/>
      <c r="F2" s="19"/>
      <c r="G2" s="3"/>
      <c r="H2" s="4"/>
      <c r="I2" s="19"/>
      <c r="J2" s="19"/>
    </row>
    <row r="3" spans="1:10" ht="18" x14ac:dyDescent="0.3">
      <c r="A3" s="18"/>
      <c r="B3" s="1"/>
      <c r="C3" s="1"/>
      <c r="D3" s="18"/>
      <c r="E3" s="2"/>
      <c r="F3" s="19"/>
      <c r="G3" s="3"/>
      <c r="H3" s="4"/>
      <c r="I3" s="19"/>
      <c r="J3" s="19"/>
    </row>
    <row r="4" spans="1:10" ht="18" x14ac:dyDescent="0.3">
      <c r="A4" s="18"/>
      <c r="B4" s="6" t="s">
        <v>1</v>
      </c>
      <c r="C4" s="1"/>
      <c r="D4" s="7"/>
      <c r="E4" s="2"/>
      <c r="F4" s="19"/>
      <c r="G4" s="3"/>
      <c r="H4" s="52" t="s">
        <v>2</v>
      </c>
      <c r="I4" s="52"/>
      <c r="J4" s="52"/>
    </row>
    <row r="5" spans="1:10" ht="18" x14ac:dyDescent="0.3">
      <c r="A5" s="18"/>
      <c r="B5" s="8"/>
      <c r="C5" s="1"/>
      <c r="D5" s="7"/>
      <c r="E5" s="2"/>
      <c r="F5" s="19"/>
      <c r="G5" s="3"/>
      <c r="H5" s="53" t="s">
        <v>3</v>
      </c>
      <c r="I5" s="53"/>
      <c r="J5" s="53"/>
    </row>
    <row r="6" spans="1:10" ht="18" x14ac:dyDescent="0.3">
      <c r="A6" s="18"/>
      <c r="B6" s="8" t="s">
        <v>4</v>
      </c>
      <c r="C6" s="1"/>
      <c r="D6" s="7"/>
      <c r="E6" s="2"/>
      <c r="F6" s="19"/>
      <c r="G6" s="3"/>
      <c r="H6" s="53" t="s">
        <v>5</v>
      </c>
      <c r="I6" s="53"/>
      <c r="J6" s="53"/>
    </row>
    <row r="7" spans="1:10" ht="18" x14ac:dyDescent="0.3">
      <c r="A7" s="18"/>
      <c r="B7" s="8"/>
      <c r="C7" s="1"/>
      <c r="D7" s="18"/>
      <c r="E7" s="2"/>
      <c r="F7" s="19"/>
      <c r="G7" s="3"/>
      <c r="H7" s="4"/>
      <c r="I7" s="21"/>
      <c r="J7" s="21"/>
    </row>
    <row r="8" spans="1:10" ht="18" x14ac:dyDescent="0.3">
      <c r="A8" s="18"/>
      <c r="B8" s="8"/>
      <c r="C8" s="1"/>
      <c r="D8" s="1"/>
      <c r="E8" s="4"/>
      <c r="F8" s="19"/>
      <c r="G8" s="3"/>
      <c r="H8" s="4"/>
      <c r="I8" s="19"/>
      <c r="J8" s="4"/>
    </row>
    <row r="9" spans="1:10" ht="18" x14ac:dyDescent="0.3">
      <c r="A9" s="18"/>
      <c r="B9" s="1"/>
      <c r="C9" s="1"/>
      <c r="D9" s="18"/>
      <c r="E9" s="19"/>
      <c r="F9" s="19"/>
      <c r="G9" s="3"/>
      <c r="H9" s="4"/>
      <c r="I9" s="19"/>
      <c r="J9" s="4"/>
    </row>
    <row r="10" spans="1:10" ht="37.5" customHeight="1" x14ac:dyDescent="0.3">
      <c r="A10" s="9"/>
      <c r="B10" s="54" t="s">
        <v>36</v>
      </c>
      <c r="C10" s="54"/>
      <c r="D10" s="54"/>
      <c r="E10" s="54"/>
      <c r="F10" s="54"/>
      <c r="G10" s="54"/>
      <c r="H10" s="54"/>
      <c r="I10" s="54"/>
      <c r="J10" s="9"/>
    </row>
    <row r="11" spans="1:10" ht="18" x14ac:dyDescent="0.3">
      <c r="A11" s="55" t="s">
        <v>6</v>
      </c>
      <c r="B11" s="55"/>
      <c r="C11" s="55"/>
      <c r="D11" s="55"/>
      <c r="E11" s="55"/>
      <c r="F11" s="55"/>
      <c r="G11" s="55"/>
      <c r="H11" s="55"/>
      <c r="I11" s="55"/>
      <c r="J11" s="55"/>
    </row>
    <row r="12" spans="1:10" ht="17.399999999999999" x14ac:dyDescent="0.3">
      <c r="A12" s="51" t="s">
        <v>7</v>
      </c>
      <c r="B12" s="51"/>
      <c r="C12" s="51"/>
      <c r="D12" s="51"/>
      <c r="E12" s="51"/>
      <c r="F12" s="51"/>
      <c r="G12" s="51"/>
      <c r="H12" s="51"/>
      <c r="I12" s="51"/>
      <c r="J12" s="51"/>
    </row>
    <row r="13" spans="1:10" ht="18" x14ac:dyDescent="0.3">
      <c r="A13" s="18"/>
      <c r="B13" s="41"/>
      <c r="C13" s="41"/>
      <c r="D13" s="41"/>
      <c r="E13" s="41"/>
      <c r="F13" s="41"/>
      <c r="G13" s="41"/>
      <c r="H13" s="41"/>
      <c r="I13" s="41"/>
      <c r="J13" s="41"/>
    </row>
    <row r="14" spans="1:10" ht="37.5" customHeight="1" x14ac:dyDescent="0.3">
      <c r="A14" s="18"/>
      <c r="B14" s="42" t="s">
        <v>34</v>
      </c>
      <c r="C14" s="42"/>
      <c r="D14" s="42"/>
      <c r="E14" s="42"/>
      <c r="F14" s="42"/>
      <c r="G14" s="42"/>
      <c r="H14" s="42"/>
      <c r="I14" s="42"/>
      <c r="J14" s="4"/>
    </row>
    <row r="15" spans="1:10" ht="18" x14ac:dyDescent="0.3">
      <c r="A15" s="18"/>
      <c r="B15" s="21"/>
      <c r="C15" s="18"/>
      <c r="D15" s="18"/>
      <c r="E15" s="19"/>
      <c r="F15" s="19"/>
      <c r="G15" s="3"/>
      <c r="H15" s="4"/>
      <c r="I15" s="19"/>
      <c r="J15" s="4"/>
    </row>
    <row r="16" spans="1:10" ht="18" x14ac:dyDescent="0.3">
      <c r="A16" s="18"/>
      <c r="B16" s="10" t="s">
        <v>35</v>
      </c>
      <c r="C16" s="11"/>
      <c r="D16" s="11"/>
      <c r="E16" s="19"/>
      <c r="F16" s="19"/>
      <c r="G16" s="3"/>
      <c r="H16" s="4"/>
      <c r="I16" s="19"/>
      <c r="J16" s="4"/>
    </row>
    <row r="17" spans="1:10" ht="18" x14ac:dyDescent="0.3">
      <c r="A17" s="18"/>
      <c r="B17" s="8" t="s">
        <v>8</v>
      </c>
      <c r="C17" s="18"/>
      <c r="D17" s="18"/>
      <c r="E17" s="19"/>
      <c r="F17" s="43">
        <f>H168</f>
        <v>16959697.961815603</v>
      </c>
      <c r="G17" s="43"/>
      <c r="H17" s="12" t="s">
        <v>9</v>
      </c>
      <c r="I17" s="19"/>
      <c r="J17" s="4"/>
    </row>
    <row r="18" spans="1:10" ht="18" x14ac:dyDescent="0.3">
      <c r="A18" s="18"/>
      <c r="B18" s="8"/>
      <c r="C18" s="18"/>
      <c r="D18" s="18"/>
      <c r="E18" s="19"/>
      <c r="F18" s="19"/>
      <c r="G18" s="3"/>
      <c r="H18" s="4"/>
      <c r="I18" s="19"/>
      <c r="J18" s="4"/>
    </row>
    <row r="19" spans="1:10" s="13" customFormat="1" ht="18" x14ac:dyDescent="0.3">
      <c r="A19" s="44" t="s">
        <v>10</v>
      </c>
      <c r="B19" s="44" t="s">
        <v>11</v>
      </c>
      <c r="C19" s="44" t="s">
        <v>12</v>
      </c>
      <c r="D19" s="44" t="s">
        <v>13</v>
      </c>
      <c r="E19" s="45" t="s">
        <v>14</v>
      </c>
      <c r="F19" s="46"/>
      <c r="G19" s="47"/>
      <c r="H19" s="40" t="s">
        <v>15</v>
      </c>
      <c r="I19" s="40"/>
      <c r="J19" s="40"/>
    </row>
    <row r="20" spans="1:10" ht="15.75" customHeight="1" x14ac:dyDescent="0.3">
      <c r="A20" s="44"/>
      <c r="B20" s="44"/>
      <c r="C20" s="44"/>
      <c r="D20" s="44"/>
      <c r="E20" s="48" t="s">
        <v>16</v>
      </c>
      <c r="F20" s="40" t="s">
        <v>17</v>
      </c>
      <c r="G20" s="40"/>
      <c r="H20" s="40" t="s">
        <v>16</v>
      </c>
      <c r="I20" s="40" t="s">
        <v>17</v>
      </c>
      <c r="J20" s="40"/>
    </row>
    <row r="21" spans="1:10" x14ac:dyDescent="0.3">
      <c r="A21" s="44"/>
      <c r="B21" s="44"/>
      <c r="C21" s="44"/>
      <c r="D21" s="44"/>
      <c r="E21" s="49"/>
      <c r="F21" s="40" t="s">
        <v>18</v>
      </c>
      <c r="G21" s="40" t="s">
        <v>19</v>
      </c>
      <c r="H21" s="40"/>
      <c r="I21" s="40" t="s">
        <v>18</v>
      </c>
      <c r="J21" s="40" t="s">
        <v>19</v>
      </c>
    </row>
    <row r="22" spans="1:10" x14ac:dyDescent="0.3">
      <c r="A22" s="44"/>
      <c r="B22" s="44"/>
      <c r="C22" s="44"/>
      <c r="D22" s="44"/>
      <c r="E22" s="50"/>
      <c r="F22" s="40"/>
      <c r="G22" s="40"/>
      <c r="H22" s="40"/>
      <c r="I22" s="40"/>
      <c r="J22" s="40"/>
    </row>
    <row r="23" spans="1:10" ht="18" x14ac:dyDescent="0.3">
      <c r="A23" s="20">
        <v>1</v>
      </c>
      <c r="B23" s="20">
        <v>3</v>
      </c>
      <c r="C23" s="20">
        <v>4</v>
      </c>
      <c r="D23" s="20">
        <v>5</v>
      </c>
      <c r="E23" s="20">
        <v>6</v>
      </c>
      <c r="F23" s="20">
        <v>7</v>
      </c>
      <c r="G23" s="20">
        <v>8</v>
      </c>
      <c r="H23" s="20">
        <v>9</v>
      </c>
      <c r="I23" s="20">
        <v>10</v>
      </c>
      <c r="J23" s="20">
        <v>11</v>
      </c>
    </row>
    <row r="24" spans="1:10" ht="17.399999999999999" x14ac:dyDescent="0.3">
      <c r="A24" s="14"/>
      <c r="B24" s="14" t="s">
        <v>37</v>
      </c>
      <c r="C24" s="14"/>
      <c r="D24" s="14"/>
      <c r="E24" s="14"/>
      <c r="F24" s="14"/>
      <c r="G24" s="14"/>
      <c r="H24" s="14"/>
      <c r="I24" s="14"/>
      <c r="J24" s="14"/>
    </row>
    <row r="25" spans="1:10" ht="18" x14ac:dyDescent="0.3">
      <c r="A25" s="20">
        <v>1</v>
      </c>
      <c r="B25" s="23" t="s">
        <v>40</v>
      </c>
      <c r="C25" s="20" t="s">
        <v>38</v>
      </c>
      <c r="D25" s="20">
        <f>D26</f>
        <v>1</v>
      </c>
      <c r="E25" s="24">
        <f t="shared" ref="E25:E55" si="0">F25+G25</f>
        <v>60497.580000000009</v>
      </c>
      <c r="F25" s="17">
        <v>60497.580000000009</v>
      </c>
      <c r="G25" s="17"/>
      <c r="H25" s="15">
        <f t="shared" ref="H25:H55" si="1">I25+J25</f>
        <v>60497.580000000009</v>
      </c>
      <c r="I25" s="16">
        <f t="shared" ref="I25:I55" si="2">D25*F25</f>
        <v>60497.580000000009</v>
      </c>
      <c r="J25" s="16">
        <f t="shared" ref="J25:J55" si="3">D25*G25</f>
        <v>0</v>
      </c>
    </row>
    <row r="26" spans="1:10" s="32" customFormat="1" ht="54" x14ac:dyDescent="0.3">
      <c r="A26" s="25" t="s">
        <v>21</v>
      </c>
      <c r="B26" s="26" t="s">
        <v>39</v>
      </c>
      <c r="C26" s="27" t="s">
        <v>38</v>
      </c>
      <c r="D26" s="27">
        <v>1</v>
      </c>
      <c r="E26" s="28">
        <f t="shared" si="0"/>
        <v>429047</v>
      </c>
      <c r="F26" s="29">
        <v>0</v>
      </c>
      <c r="G26" s="29">
        <v>429047</v>
      </c>
      <c r="H26" s="30">
        <f t="shared" si="1"/>
        <v>429047</v>
      </c>
      <c r="I26" s="31">
        <f t="shared" si="2"/>
        <v>0</v>
      </c>
      <c r="J26" s="31">
        <f t="shared" si="3"/>
        <v>429047</v>
      </c>
    </row>
    <row r="27" spans="1:10" s="32" customFormat="1" ht="18" x14ac:dyDescent="0.3">
      <c r="A27" s="20">
        <v>2</v>
      </c>
      <c r="B27" s="23" t="s">
        <v>41</v>
      </c>
      <c r="C27" s="20" t="s">
        <v>38</v>
      </c>
      <c r="D27" s="20">
        <f>D28</f>
        <v>1</v>
      </c>
      <c r="E27" s="24">
        <f t="shared" ref="E27:E28" si="4">F27+G27</f>
        <v>34991.385000000002</v>
      </c>
      <c r="F27" s="17">
        <v>34991.385000000002</v>
      </c>
      <c r="G27" s="17"/>
      <c r="H27" s="15">
        <f t="shared" ref="H27:H28" si="5">I27+J27</f>
        <v>34991.385000000002</v>
      </c>
      <c r="I27" s="16">
        <f t="shared" ref="I27:I28" si="6">D27*F27</f>
        <v>34991.385000000002</v>
      </c>
      <c r="J27" s="16">
        <f t="shared" ref="J27:J28" si="7">D27*G27</f>
        <v>0</v>
      </c>
    </row>
    <row r="28" spans="1:10" s="32" customFormat="1" ht="54" x14ac:dyDescent="0.3">
      <c r="A28" s="27" t="s">
        <v>22</v>
      </c>
      <c r="B28" s="26" t="s">
        <v>42</v>
      </c>
      <c r="C28" s="27" t="s">
        <v>38</v>
      </c>
      <c r="D28" s="27">
        <v>1</v>
      </c>
      <c r="E28" s="28">
        <f t="shared" si="4"/>
        <v>346434</v>
      </c>
      <c r="F28" s="29">
        <v>0</v>
      </c>
      <c r="G28" s="29">
        <v>346434</v>
      </c>
      <c r="H28" s="30">
        <f t="shared" si="5"/>
        <v>346434</v>
      </c>
      <c r="I28" s="31">
        <f t="shared" si="6"/>
        <v>0</v>
      </c>
      <c r="J28" s="31">
        <f t="shared" si="7"/>
        <v>346434</v>
      </c>
    </row>
    <row r="29" spans="1:10" s="32" customFormat="1" ht="36" x14ac:dyDescent="0.3">
      <c r="A29" s="20">
        <v>3</v>
      </c>
      <c r="B29" s="23" t="s">
        <v>43</v>
      </c>
      <c r="C29" s="20" t="s">
        <v>38</v>
      </c>
      <c r="D29" s="20">
        <f>SUM(D30:D37)</f>
        <v>8</v>
      </c>
      <c r="E29" s="24">
        <f t="shared" si="0"/>
        <v>30036.435000000005</v>
      </c>
      <c r="F29" s="17">
        <v>30036.435000000005</v>
      </c>
      <c r="G29" s="17"/>
      <c r="H29" s="15">
        <f t="shared" si="1"/>
        <v>240291.48000000004</v>
      </c>
      <c r="I29" s="16">
        <f t="shared" si="2"/>
        <v>240291.48000000004</v>
      </c>
      <c r="J29" s="16">
        <f t="shared" si="3"/>
        <v>0</v>
      </c>
    </row>
    <row r="30" spans="1:10" s="32" customFormat="1" ht="36" x14ac:dyDescent="0.3">
      <c r="A30" s="27" t="s">
        <v>23</v>
      </c>
      <c r="B30" s="26" t="s">
        <v>44</v>
      </c>
      <c r="C30" s="27" t="s">
        <v>38</v>
      </c>
      <c r="D30" s="27">
        <v>1</v>
      </c>
      <c r="E30" s="28">
        <f t="shared" si="0"/>
        <v>62228</v>
      </c>
      <c r="F30" s="29">
        <v>0</v>
      </c>
      <c r="G30" s="29">
        <v>62228</v>
      </c>
      <c r="H30" s="30">
        <f t="shared" si="1"/>
        <v>62228</v>
      </c>
      <c r="I30" s="31">
        <f t="shared" si="2"/>
        <v>0</v>
      </c>
      <c r="J30" s="31">
        <f t="shared" si="3"/>
        <v>62228</v>
      </c>
    </row>
    <row r="31" spans="1:10" s="32" customFormat="1" ht="36" x14ac:dyDescent="0.3">
      <c r="A31" s="27" t="s">
        <v>52</v>
      </c>
      <c r="B31" s="26" t="s">
        <v>45</v>
      </c>
      <c r="C31" s="27" t="s">
        <v>38</v>
      </c>
      <c r="D31" s="27">
        <v>1</v>
      </c>
      <c r="E31" s="28">
        <f t="shared" si="0"/>
        <v>51905</v>
      </c>
      <c r="F31" s="29">
        <v>0</v>
      </c>
      <c r="G31" s="29">
        <v>51905</v>
      </c>
      <c r="H31" s="30">
        <f t="shared" si="1"/>
        <v>51905</v>
      </c>
      <c r="I31" s="31">
        <f t="shared" si="2"/>
        <v>0</v>
      </c>
      <c r="J31" s="31">
        <f t="shared" si="3"/>
        <v>51905</v>
      </c>
    </row>
    <row r="32" spans="1:10" s="32" customFormat="1" ht="36" x14ac:dyDescent="0.3">
      <c r="A32" s="27" t="s">
        <v>53</v>
      </c>
      <c r="B32" s="26" t="s">
        <v>46</v>
      </c>
      <c r="C32" s="27" t="s">
        <v>38</v>
      </c>
      <c r="D32" s="27">
        <v>1</v>
      </c>
      <c r="E32" s="28">
        <f t="shared" ref="E32:E39" si="8">F32+G32</f>
        <v>29065</v>
      </c>
      <c r="F32" s="29">
        <v>0</v>
      </c>
      <c r="G32" s="29">
        <v>29065</v>
      </c>
      <c r="H32" s="30">
        <f t="shared" ref="H32:H39" si="9">I32+J32</f>
        <v>29065</v>
      </c>
      <c r="I32" s="31">
        <f t="shared" ref="I32:I39" si="10">D32*F32</f>
        <v>0</v>
      </c>
      <c r="J32" s="31">
        <f t="shared" ref="J32:J39" si="11">D32*G32</f>
        <v>29065</v>
      </c>
    </row>
    <row r="33" spans="1:10" s="32" customFormat="1" ht="36" x14ac:dyDescent="0.3">
      <c r="A33" s="27" t="s">
        <v>54</v>
      </c>
      <c r="B33" s="26" t="s">
        <v>47</v>
      </c>
      <c r="C33" s="27" t="s">
        <v>38</v>
      </c>
      <c r="D33" s="27">
        <v>1</v>
      </c>
      <c r="E33" s="28">
        <f t="shared" si="8"/>
        <v>26569</v>
      </c>
      <c r="F33" s="29">
        <v>0</v>
      </c>
      <c r="G33" s="29">
        <v>26569</v>
      </c>
      <c r="H33" s="30">
        <f t="shared" si="9"/>
        <v>26569</v>
      </c>
      <c r="I33" s="31">
        <f t="shared" si="10"/>
        <v>0</v>
      </c>
      <c r="J33" s="31">
        <f t="shared" si="11"/>
        <v>26569</v>
      </c>
    </row>
    <row r="34" spans="1:10" s="32" customFormat="1" ht="36" x14ac:dyDescent="0.3">
      <c r="A34" s="27" t="s">
        <v>55</v>
      </c>
      <c r="B34" s="26" t="s">
        <v>48</v>
      </c>
      <c r="C34" s="27" t="s">
        <v>38</v>
      </c>
      <c r="D34" s="27">
        <v>1</v>
      </c>
      <c r="E34" s="28">
        <f t="shared" si="8"/>
        <v>28337</v>
      </c>
      <c r="F34" s="29">
        <v>0</v>
      </c>
      <c r="G34" s="29">
        <v>28337</v>
      </c>
      <c r="H34" s="30">
        <f t="shared" si="9"/>
        <v>28337</v>
      </c>
      <c r="I34" s="31">
        <f t="shared" si="10"/>
        <v>0</v>
      </c>
      <c r="J34" s="31">
        <f t="shared" si="11"/>
        <v>28337</v>
      </c>
    </row>
    <row r="35" spans="1:10" s="32" customFormat="1" ht="36" x14ac:dyDescent="0.3">
      <c r="A35" s="27" t="s">
        <v>56</v>
      </c>
      <c r="B35" s="26" t="s">
        <v>49</v>
      </c>
      <c r="C35" s="27" t="s">
        <v>38</v>
      </c>
      <c r="D35" s="27">
        <v>1</v>
      </c>
      <c r="E35" s="28">
        <f t="shared" si="8"/>
        <v>33543</v>
      </c>
      <c r="F35" s="29">
        <v>0</v>
      </c>
      <c r="G35" s="29">
        <v>33543</v>
      </c>
      <c r="H35" s="30">
        <f t="shared" si="9"/>
        <v>33543</v>
      </c>
      <c r="I35" s="31">
        <f t="shared" si="10"/>
        <v>0</v>
      </c>
      <c r="J35" s="31">
        <f t="shared" si="11"/>
        <v>33543</v>
      </c>
    </row>
    <row r="36" spans="1:10" s="32" customFormat="1" ht="36" x14ac:dyDescent="0.3">
      <c r="A36" s="27" t="s">
        <v>57</v>
      </c>
      <c r="B36" s="26" t="s">
        <v>50</v>
      </c>
      <c r="C36" s="27" t="s">
        <v>38</v>
      </c>
      <c r="D36" s="27">
        <v>1</v>
      </c>
      <c r="E36" s="28">
        <f t="shared" si="8"/>
        <v>29801</v>
      </c>
      <c r="F36" s="29">
        <v>0</v>
      </c>
      <c r="G36" s="29">
        <v>29801</v>
      </c>
      <c r="H36" s="30">
        <f t="shared" si="9"/>
        <v>29801</v>
      </c>
      <c r="I36" s="31">
        <f t="shared" si="10"/>
        <v>0</v>
      </c>
      <c r="J36" s="31">
        <f t="shared" si="11"/>
        <v>29801</v>
      </c>
    </row>
    <row r="37" spans="1:10" s="32" customFormat="1" ht="36" x14ac:dyDescent="0.3">
      <c r="A37" s="27" t="s">
        <v>58</v>
      </c>
      <c r="B37" s="26" t="s">
        <v>51</v>
      </c>
      <c r="C37" s="27" t="s">
        <v>38</v>
      </c>
      <c r="D37" s="27">
        <v>1</v>
      </c>
      <c r="E37" s="28">
        <f t="shared" si="8"/>
        <v>36221</v>
      </c>
      <c r="F37" s="29">
        <v>0</v>
      </c>
      <c r="G37" s="29">
        <v>36221</v>
      </c>
      <c r="H37" s="30">
        <f t="shared" si="9"/>
        <v>36221</v>
      </c>
      <c r="I37" s="31">
        <f t="shared" si="10"/>
        <v>0</v>
      </c>
      <c r="J37" s="31">
        <f t="shared" si="11"/>
        <v>36221</v>
      </c>
    </row>
    <row r="38" spans="1:10" s="32" customFormat="1" ht="36" x14ac:dyDescent="0.3">
      <c r="A38" s="20">
        <v>4</v>
      </c>
      <c r="B38" s="23" t="s">
        <v>59</v>
      </c>
      <c r="C38" s="20" t="s">
        <v>38</v>
      </c>
      <c r="D38" s="20">
        <f>D39</f>
        <v>5</v>
      </c>
      <c r="E38" s="24">
        <f t="shared" si="8"/>
        <v>2737.0200000000004</v>
      </c>
      <c r="F38" s="17">
        <v>2737.0200000000004</v>
      </c>
      <c r="G38" s="17">
        <v>0</v>
      </c>
      <c r="H38" s="15">
        <f t="shared" si="9"/>
        <v>13685.100000000002</v>
      </c>
      <c r="I38" s="16">
        <f t="shared" si="10"/>
        <v>13685.100000000002</v>
      </c>
      <c r="J38" s="16">
        <f t="shared" si="11"/>
        <v>0</v>
      </c>
    </row>
    <row r="39" spans="1:10" s="32" customFormat="1" ht="54" x14ac:dyDescent="0.3">
      <c r="A39" s="27" t="s">
        <v>24</v>
      </c>
      <c r="B39" s="26" t="s">
        <v>60</v>
      </c>
      <c r="C39" s="27" t="s">
        <v>38</v>
      </c>
      <c r="D39" s="27">
        <v>5</v>
      </c>
      <c r="E39" s="28">
        <f t="shared" si="8"/>
        <v>6560</v>
      </c>
      <c r="F39" s="29">
        <v>0</v>
      </c>
      <c r="G39" s="29">
        <v>6560</v>
      </c>
      <c r="H39" s="30">
        <f t="shared" si="9"/>
        <v>32800</v>
      </c>
      <c r="I39" s="31">
        <f t="shared" si="10"/>
        <v>0</v>
      </c>
      <c r="J39" s="31">
        <f t="shared" si="11"/>
        <v>32800</v>
      </c>
    </row>
    <row r="40" spans="1:10" s="32" customFormat="1" ht="17.399999999999999" x14ac:dyDescent="0.3">
      <c r="A40" s="14"/>
      <c r="B40" s="14" t="s">
        <v>61</v>
      </c>
      <c r="C40" s="14"/>
      <c r="D40" s="14"/>
      <c r="E40" s="14"/>
      <c r="F40" s="14"/>
      <c r="G40" s="14"/>
      <c r="H40" s="14"/>
      <c r="I40" s="14"/>
      <c r="J40" s="14"/>
    </row>
    <row r="41" spans="1:10" s="32" customFormat="1" ht="54" x14ac:dyDescent="0.3">
      <c r="A41" s="20">
        <v>5</v>
      </c>
      <c r="B41" s="23" t="s">
        <v>64</v>
      </c>
      <c r="C41" s="20" t="s">
        <v>20</v>
      </c>
      <c r="D41" s="20">
        <f>SUM(D42:D43)</f>
        <v>64</v>
      </c>
      <c r="E41" s="24">
        <f t="shared" si="0"/>
        <v>3521.6953200000007</v>
      </c>
      <c r="F41" s="17">
        <v>3521.6953200000007</v>
      </c>
      <c r="G41" s="17"/>
      <c r="H41" s="15">
        <f t="shared" si="1"/>
        <v>225388.50048000005</v>
      </c>
      <c r="I41" s="16">
        <f t="shared" si="2"/>
        <v>225388.50048000005</v>
      </c>
      <c r="J41" s="16">
        <f t="shared" si="3"/>
        <v>0</v>
      </c>
    </row>
    <row r="42" spans="1:10" s="32" customFormat="1" ht="54" x14ac:dyDescent="0.3">
      <c r="A42" s="27" t="s">
        <v>25</v>
      </c>
      <c r="B42" s="26" t="s">
        <v>62</v>
      </c>
      <c r="C42" s="27" t="s">
        <v>20</v>
      </c>
      <c r="D42" s="27">
        <v>57</v>
      </c>
      <c r="E42" s="28">
        <f t="shared" si="0"/>
        <v>10513.800000000001</v>
      </c>
      <c r="F42" s="29">
        <v>0</v>
      </c>
      <c r="G42" s="29">
        <v>10513.800000000001</v>
      </c>
      <c r="H42" s="30">
        <f t="shared" si="1"/>
        <v>599286.60000000009</v>
      </c>
      <c r="I42" s="31">
        <f t="shared" si="2"/>
        <v>0</v>
      </c>
      <c r="J42" s="31">
        <f t="shared" si="3"/>
        <v>599286.60000000009</v>
      </c>
    </row>
    <row r="43" spans="1:10" s="32" customFormat="1" ht="54" x14ac:dyDescent="0.3">
      <c r="A43" s="27" t="s">
        <v>26</v>
      </c>
      <c r="B43" s="26" t="s">
        <v>63</v>
      </c>
      <c r="C43" s="27" t="s">
        <v>20</v>
      </c>
      <c r="D43" s="27">
        <v>7</v>
      </c>
      <c r="E43" s="28">
        <f t="shared" si="0"/>
        <v>18091.080000000002</v>
      </c>
      <c r="F43" s="29">
        <v>0</v>
      </c>
      <c r="G43" s="29">
        <v>18091.080000000002</v>
      </c>
      <c r="H43" s="30">
        <f t="shared" ref="H43" si="12">I43+J43</f>
        <v>126637.56000000001</v>
      </c>
      <c r="I43" s="31">
        <f t="shared" ref="I43" si="13">D43*F43</f>
        <v>0</v>
      </c>
      <c r="J43" s="31">
        <f t="shared" ref="J43" si="14">D43*G43</f>
        <v>126637.56000000001</v>
      </c>
    </row>
    <row r="44" spans="1:10" s="32" customFormat="1" ht="36" x14ac:dyDescent="0.3">
      <c r="A44" s="20">
        <v>6</v>
      </c>
      <c r="B44" s="23" t="s">
        <v>65</v>
      </c>
      <c r="C44" s="20" t="s">
        <v>20</v>
      </c>
      <c r="D44" s="20">
        <f>SUM(D45:D46)</f>
        <v>14</v>
      </c>
      <c r="E44" s="24">
        <f t="shared" si="0"/>
        <v>1382.4310500000004</v>
      </c>
      <c r="F44" s="17">
        <v>1382.4310500000004</v>
      </c>
      <c r="G44" s="17">
        <v>0</v>
      </c>
      <c r="H44" s="15">
        <f t="shared" si="1"/>
        <v>19354.034700000004</v>
      </c>
      <c r="I44" s="16">
        <f t="shared" si="2"/>
        <v>19354.034700000004</v>
      </c>
      <c r="J44" s="16">
        <f t="shared" si="3"/>
        <v>0</v>
      </c>
    </row>
    <row r="45" spans="1:10" s="32" customFormat="1" ht="36" x14ac:dyDescent="0.3">
      <c r="A45" s="27" t="s">
        <v>27</v>
      </c>
      <c r="B45" s="26" t="s">
        <v>66</v>
      </c>
      <c r="C45" s="27" t="s">
        <v>20</v>
      </c>
      <c r="D45" s="27">
        <v>8</v>
      </c>
      <c r="E45" s="28">
        <f t="shared" si="0"/>
        <v>4729.3200000000006</v>
      </c>
      <c r="F45" s="29">
        <v>0</v>
      </c>
      <c r="G45" s="29">
        <v>4729.3200000000006</v>
      </c>
      <c r="H45" s="30">
        <f t="shared" si="1"/>
        <v>37834.560000000005</v>
      </c>
      <c r="I45" s="31">
        <f t="shared" si="2"/>
        <v>0</v>
      </c>
      <c r="J45" s="31">
        <f t="shared" si="3"/>
        <v>37834.560000000005</v>
      </c>
    </row>
    <row r="46" spans="1:10" s="32" customFormat="1" ht="54" x14ac:dyDescent="0.3">
      <c r="A46" s="27" t="s">
        <v>68</v>
      </c>
      <c r="B46" s="26" t="s">
        <v>67</v>
      </c>
      <c r="C46" s="27" t="s">
        <v>20</v>
      </c>
      <c r="D46" s="27">
        <v>6</v>
      </c>
      <c r="E46" s="28">
        <f t="shared" si="0"/>
        <v>3879.36</v>
      </c>
      <c r="F46" s="29">
        <v>0</v>
      </c>
      <c r="G46" s="29">
        <v>3879.36</v>
      </c>
      <c r="H46" s="30">
        <f t="shared" si="1"/>
        <v>23276.16</v>
      </c>
      <c r="I46" s="31">
        <f t="shared" si="2"/>
        <v>0</v>
      </c>
      <c r="J46" s="31">
        <f t="shared" si="3"/>
        <v>23276.16</v>
      </c>
    </row>
    <row r="47" spans="1:10" s="32" customFormat="1" ht="36" x14ac:dyDescent="0.3">
      <c r="A47" s="20">
        <v>7</v>
      </c>
      <c r="B47" s="23" t="s">
        <v>69</v>
      </c>
      <c r="C47" s="20" t="s">
        <v>20</v>
      </c>
      <c r="D47" s="20">
        <f>D48</f>
        <v>8</v>
      </c>
      <c r="E47" s="24">
        <f t="shared" si="0"/>
        <v>997.59660000000019</v>
      </c>
      <c r="F47" s="17">
        <v>997.59660000000019</v>
      </c>
      <c r="G47" s="17">
        <v>0</v>
      </c>
      <c r="H47" s="15">
        <f t="shared" si="1"/>
        <v>7980.7728000000016</v>
      </c>
      <c r="I47" s="16">
        <f t="shared" si="2"/>
        <v>7980.7728000000016</v>
      </c>
      <c r="J47" s="16">
        <f t="shared" si="3"/>
        <v>0</v>
      </c>
    </row>
    <row r="48" spans="1:10" s="32" customFormat="1" ht="54" x14ac:dyDescent="0.3">
      <c r="A48" s="27" t="s">
        <v>28</v>
      </c>
      <c r="B48" s="26" t="s">
        <v>70</v>
      </c>
      <c r="C48" s="27" t="s">
        <v>20</v>
      </c>
      <c r="D48" s="27">
        <v>8</v>
      </c>
      <c r="E48" s="28">
        <f t="shared" si="0"/>
        <v>3465.7200000000003</v>
      </c>
      <c r="F48" s="29">
        <v>0</v>
      </c>
      <c r="G48" s="29">
        <v>3465.7200000000003</v>
      </c>
      <c r="H48" s="30">
        <f t="shared" si="1"/>
        <v>27725.760000000002</v>
      </c>
      <c r="I48" s="31">
        <f t="shared" si="2"/>
        <v>0</v>
      </c>
      <c r="J48" s="31">
        <f t="shared" si="3"/>
        <v>27725.760000000002</v>
      </c>
    </row>
    <row r="49" spans="1:10" s="32" customFormat="1" ht="36" x14ac:dyDescent="0.3">
      <c r="A49" s="20">
        <v>8</v>
      </c>
      <c r="B49" s="23" t="s">
        <v>261</v>
      </c>
      <c r="C49" s="20" t="s">
        <v>20</v>
      </c>
      <c r="D49" s="20">
        <f>D50</f>
        <v>133</v>
      </c>
      <c r="E49" s="24">
        <f t="shared" si="0"/>
        <v>468.36075000000011</v>
      </c>
      <c r="F49" s="17">
        <v>468.36075000000011</v>
      </c>
      <c r="G49" s="17">
        <v>0</v>
      </c>
      <c r="H49" s="15">
        <f t="shared" si="1"/>
        <v>62291.979750000013</v>
      </c>
      <c r="I49" s="16">
        <f t="shared" si="2"/>
        <v>62291.979750000013</v>
      </c>
      <c r="J49" s="16">
        <f t="shared" si="3"/>
        <v>0</v>
      </c>
    </row>
    <row r="50" spans="1:10" s="32" customFormat="1" ht="36" x14ac:dyDescent="0.3">
      <c r="A50" s="27" t="s">
        <v>29</v>
      </c>
      <c r="B50" s="26" t="s">
        <v>71</v>
      </c>
      <c r="C50" s="27" t="s">
        <v>20</v>
      </c>
      <c r="D50" s="27">
        <v>133</v>
      </c>
      <c r="E50" s="28">
        <f t="shared" si="0"/>
        <v>2058.48</v>
      </c>
      <c r="F50" s="29">
        <v>0</v>
      </c>
      <c r="G50" s="29">
        <v>2058.48</v>
      </c>
      <c r="H50" s="30">
        <f t="shared" si="1"/>
        <v>273777.84000000003</v>
      </c>
      <c r="I50" s="31">
        <f t="shared" si="2"/>
        <v>0</v>
      </c>
      <c r="J50" s="31">
        <f t="shared" si="3"/>
        <v>273777.84000000003</v>
      </c>
    </row>
    <row r="51" spans="1:10" s="32" customFormat="1" ht="36" x14ac:dyDescent="0.3">
      <c r="A51" s="20">
        <v>9</v>
      </c>
      <c r="B51" s="23" t="s">
        <v>72</v>
      </c>
      <c r="C51" s="20" t="s">
        <v>20</v>
      </c>
      <c r="D51" s="20">
        <f>D52</f>
        <v>23</v>
      </c>
      <c r="E51" s="24">
        <f t="shared" ref="E51" si="15">F51+G51</f>
        <v>680.95170000000007</v>
      </c>
      <c r="F51" s="17">
        <v>680.95170000000007</v>
      </c>
      <c r="G51" s="17">
        <v>0</v>
      </c>
      <c r="H51" s="15">
        <f t="shared" ref="H51" si="16">I51+J51</f>
        <v>15661.889100000002</v>
      </c>
      <c r="I51" s="16">
        <f t="shared" ref="I51" si="17">D51*F51</f>
        <v>15661.889100000002</v>
      </c>
      <c r="J51" s="16">
        <f t="shared" ref="J51" si="18">D51*G51</f>
        <v>0</v>
      </c>
    </row>
    <row r="52" spans="1:10" s="32" customFormat="1" ht="36" x14ac:dyDescent="0.3">
      <c r="A52" s="27" t="s">
        <v>30</v>
      </c>
      <c r="B52" s="26" t="s">
        <v>73</v>
      </c>
      <c r="C52" s="27" t="s">
        <v>20</v>
      </c>
      <c r="D52" s="27">
        <v>23</v>
      </c>
      <c r="E52" s="28">
        <f t="shared" si="0"/>
        <v>2809.0800000000004</v>
      </c>
      <c r="F52" s="29">
        <v>0</v>
      </c>
      <c r="G52" s="29">
        <v>2809.0800000000004</v>
      </c>
      <c r="H52" s="30">
        <f t="shared" si="1"/>
        <v>64608.840000000011</v>
      </c>
      <c r="I52" s="31">
        <f t="shared" si="2"/>
        <v>0</v>
      </c>
      <c r="J52" s="31">
        <f t="shared" si="3"/>
        <v>64608.840000000011</v>
      </c>
    </row>
    <row r="53" spans="1:10" s="32" customFormat="1" ht="36" x14ac:dyDescent="0.3">
      <c r="A53" s="20">
        <v>10</v>
      </c>
      <c r="B53" s="23" t="s">
        <v>74</v>
      </c>
      <c r="C53" s="20" t="s">
        <v>20</v>
      </c>
      <c r="D53" s="20">
        <f>D54</f>
        <v>30</v>
      </c>
      <c r="E53" s="24">
        <f t="shared" ref="E53" si="19">F53+G53</f>
        <v>6087.5100000000011</v>
      </c>
      <c r="F53" s="17">
        <v>6087.5100000000011</v>
      </c>
      <c r="G53" s="17">
        <v>0</v>
      </c>
      <c r="H53" s="15">
        <f t="shared" ref="H53" si="20">I53+J53</f>
        <v>182625.30000000005</v>
      </c>
      <c r="I53" s="16">
        <f t="shared" ref="I53" si="21">D53*F53</f>
        <v>182625.30000000005</v>
      </c>
      <c r="J53" s="16">
        <f t="shared" ref="J53" si="22">D53*G53</f>
        <v>0</v>
      </c>
    </row>
    <row r="54" spans="1:10" s="32" customFormat="1" ht="54" x14ac:dyDescent="0.3">
      <c r="A54" s="27" t="s">
        <v>76</v>
      </c>
      <c r="B54" s="26" t="s">
        <v>75</v>
      </c>
      <c r="C54" s="27" t="s">
        <v>20</v>
      </c>
      <c r="D54" s="27">
        <v>30</v>
      </c>
      <c r="E54" s="28">
        <f t="shared" si="0"/>
        <v>10892.880000000001</v>
      </c>
      <c r="F54" s="29">
        <v>0</v>
      </c>
      <c r="G54" s="29">
        <v>10892.880000000001</v>
      </c>
      <c r="H54" s="30">
        <f t="shared" si="1"/>
        <v>326786.40000000002</v>
      </c>
      <c r="I54" s="31">
        <f t="shared" si="2"/>
        <v>0</v>
      </c>
      <c r="J54" s="31">
        <f t="shared" si="3"/>
        <v>326786.40000000002</v>
      </c>
    </row>
    <row r="55" spans="1:10" s="32" customFormat="1" ht="18" x14ac:dyDescent="0.3">
      <c r="A55" s="27" t="s">
        <v>77</v>
      </c>
      <c r="B55" s="26" t="s">
        <v>78</v>
      </c>
      <c r="C55" s="27" t="s">
        <v>20</v>
      </c>
      <c r="D55" s="27">
        <v>30</v>
      </c>
      <c r="E55" s="28">
        <f t="shared" si="0"/>
        <v>325.45800000000003</v>
      </c>
      <c r="F55" s="29">
        <v>0</v>
      </c>
      <c r="G55" s="29">
        <v>325.45800000000003</v>
      </c>
      <c r="H55" s="30">
        <f t="shared" si="1"/>
        <v>9763.7400000000016</v>
      </c>
      <c r="I55" s="31">
        <f t="shared" si="2"/>
        <v>0</v>
      </c>
      <c r="J55" s="31">
        <f t="shared" si="3"/>
        <v>9763.7400000000016</v>
      </c>
    </row>
    <row r="56" spans="1:10" s="32" customFormat="1" ht="18" x14ac:dyDescent="0.3">
      <c r="A56" s="20">
        <v>11</v>
      </c>
      <c r="B56" s="23" t="s">
        <v>79</v>
      </c>
      <c r="C56" s="20" t="s">
        <v>20</v>
      </c>
      <c r="D56" s="20">
        <f>D57</f>
        <v>1</v>
      </c>
      <c r="E56" s="24">
        <f t="shared" ref="E56:E136" si="23">F56+G56</f>
        <v>1415.7</v>
      </c>
      <c r="F56" s="17">
        <v>1415.7</v>
      </c>
      <c r="G56" s="17">
        <v>0</v>
      </c>
      <c r="H56" s="15">
        <f t="shared" ref="H56:H136" si="24">I56+J56</f>
        <v>1415.7</v>
      </c>
      <c r="I56" s="16">
        <f t="shared" ref="I56:I136" si="25">D56*F56</f>
        <v>1415.7</v>
      </c>
      <c r="J56" s="16">
        <f t="shared" ref="J56:J136" si="26">D56*G56</f>
        <v>0</v>
      </c>
    </row>
    <row r="57" spans="1:10" s="32" customFormat="1" ht="18" x14ac:dyDescent="0.3">
      <c r="A57" s="27" t="s">
        <v>81</v>
      </c>
      <c r="B57" s="26" t="s">
        <v>80</v>
      </c>
      <c r="C57" s="27" t="s">
        <v>20</v>
      </c>
      <c r="D57" s="27">
        <v>1</v>
      </c>
      <c r="E57" s="28">
        <f t="shared" si="23"/>
        <v>638.50680000000011</v>
      </c>
      <c r="F57" s="29">
        <v>0</v>
      </c>
      <c r="G57" s="29">
        <v>638.50680000000011</v>
      </c>
      <c r="H57" s="30">
        <f t="shared" si="24"/>
        <v>638.50680000000011</v>
      </c>
      <c r="I57" s="31">
        <f t="shared" si="25"/>
        <v>0</v>
      </c>
      <c r="J57" s="31">
        <f t="shared" si="26"/>
        <v>638.50680000000011</v>
      </c>
    </row>
    <row r="58" spans="1:10" s="32" customFormat="1" ht="17.399999999999999" x14ac:dyDescent="0.3">
      <c r="A58" s="14"/>
      <c r="B58" s="14" t="s">
        <v>82</v>
      </c>
      <c r="C58" s="14"/>
      <c r="D58" s="14"/>
      <c r="E58" s="14"/>
      <c r="F58" s="14"/>
      <c r="G58" s="14"/>
      <c r="H58" s="14"/>
      <c r="I58" s="14"/>
      <c r="J58" s="14"/>
    </row>
    <row r="59" spans="1:10" s="32" customFormat="1" ht="36" x14ac:dyDescent="0.3">
      <c r="A59" s="20">
        <v>12</v>
      </c>
      <c r="B59" s="23" t="s">
        <v>83</v>
      </c>
      <c r="C59" s="20" t="s">
        <v>84</v>
      </c>
      <c r="D59" s="20">
        <f>SUM(D60:D63)</f>
        <v>620</v>
      </c>
      <c r="E59" s="24">
        <f t="shared" ref="E59" si="27">F59+G59</f>
        <v>300.12840000000006</v>
      </c>
      <c r="F59" s="17">
        <v>300.12840000000006</v>
      </c>
      <c r="G59" s="17">
        <v>0</v>
      </c>
      <c r="H59" s="15">
        <f t="shared" ref="H59" si="28">I59+J59</f>
        <v>186079.60800000004</v>
      </c>
      <c r="I59" s="16">
        <f t="shared" ref="I59" si="29">D59*F59</f>
        <v>186079.60800000004</v>
      </c>
      <c r="J59" s="16">
        <f t="shared" ref="J59" si="30">D59*G59</f>
        <v>0</v>
      </c>
    </row>
    <row r="60" spans="1:10" s="32" customFormat="1" ht="18" x14ac:dyDescent="0.3">
      <c r="A60" s="27" t="s">
        <v>89</v>
      </c>
      <c r="B60" s="26" t="s">
        <v>85</v>
      </c>
      <c r="C60" s="27" t="s">
        <v>84</v>
      </c>
      <c r="D60" s="27">
        <v>10</v>
      </c>
      <c r="E60" s="28">
        <f t="shared" si="23"/>
        <v>1452.0924</v>
      </c>
      <c r="F60" s="29">
        <v>0</v>
      </c>
      <c r="G60" s="29">
        <v>1452.0924</v>
      </c>
      <c r="H60" s="30">
        <f t="shared" si="24"/>
        <v>14520.923999999999</v>
      </c>
      <c r="I60" s="31">
        <f t="shared" si="25"/>
        <v>0</v>
      </c>
      <c r="J60" s="31">
        <f t="shared" si="26"/>
        <v>14520.923999999999</v>
      </c>
    </row>
    <row r="61" spans="1:10" s="32" customFormat="1" ht="18" x14ac:dyDescent="0.3">
      <c r="A61" s="27" t="s">
        <v>90</v>
      </c>
      <c r="B61" s="26" t="s">
        <v>86</v>
      </c>
      <c r="C61" s="27" t="s">
        <v>84</v>
      </c>
      <c r="D61" s="27">
        <v>60</v>
      </c>
      <c r="E61" s="28">
        <f t="shared" si="23"/>
        <v>1089.5472000000002</v>
      </c>
      <c r="F61" s="29">
        <v>0</v>
      </c>
      <c r="G61" s="29">
        <v>1089.5472000000002</v>
      </c>
      <c r="H61" s="30">
        <f t="shared" si="24"/>
        <v>65372.832000000009</v>
      </c>
      <c r="I61" s="31">
        <f t="shared" si="25"/>
        <v>0</v>
      </c>
      <c r="J61" s="31">
        <f t="shared" si="26"/>
        <v>65372.832000000009</v>
      </c>
    </row>
    <row r="62" spans="1:10" s="32" customFormat="1" ht="18" x14ac:dyDescent="0.3">
      <c r="A62" s="27" t="s">
        <v>91</v>
      </c>
      <c r="B62" s="26" t="s">
        <v>87</v>
      </c>
      <c r="C62" s="27" t="s">
        <v>84</v>
      </c>
      <c r="D62" s="27">
        <v>250</v>
      </c>
      <c r="E62" s="28">
        <f t="shared" si="23"/>
        <v>700.35840000000007</v>
      </c>
      <c r="F62" s="29">
        <v>0</v>
      </c>
      <c r="G62" s="29">
        <v>700.35840000000007</v>
      </c>
      <c r="H62" s="30">
        <f t="shared" si="24"/>
        <v>175089.6</v>
      </c>
      <c r="I62" s="31">
        <f t="shared" si="25"/>
        <v>0</v>
      </c>
      <c r="J62" s="31">
        <f t="shared" si="26"/>
        <v>175089.6</v>
      </c>
    </row>
    <row r="63" spans="1:10" s="32" customFormat="1" ht="18" x14ac:dyDescent="0.3">
      <c r="A63" s="27" t="s">
        <v>92</v>
      </c>
      <c r="B63" s="26" t="s">
        <v>88</v>
      </c>
      <c r="C63" s="27" t="s">
        <v>84</v>
      </c>
      <c r="D63" s="27">
        <v>300</v>
      </c>
      <c r="E63" s="28">
        <f t="shared" si="23"/>
        <v>360.01800000000003</v>
      </c>
      <c r="F63" s="29">
        <v>0</v>
      </c>
      <c r="G63" s="29">
        <v>360.01800000000003</v>
      </c>
      <c r="H63" s="30">
        <f t="shared" si="24"/>
        <v>108005.40000000001</v>
      </c>
      <c r="I63" s="31">
        <f t="shared" si="25"/>
        <v>0</v>
      </c>
      <c r="J63" s="31">
        <f t="shared" si="26"/>
        <v>108005.40000000001</v>
      </c>
    </row>
    <row r="64" spans="1:10" s="32" customFormat="1" ht="36" x14ac:dyDescent="0.3">
      <c r="A64" s="20">
        <v>13</v>
      </c>
      <c r="B64" s="23" t="s">
        <v>93</v>
      </c>
      <c r="C64" s="20" t="s">
        <v>84</v>
      </c>
      <c r="D64" s="20">
        <f>SUM(D65:D70)</f>
        <v>6350</v>
      </c>
      <c r="E64" s="24">
        <f t="shared" si="23"/>
        <v>141.57000000000002</v>
      </c>
      <c r="F64" s="17">
        <v>141.57000000000002</v>
      </c>
      <c r="G64" s="17">
        <v>0</v>
      </c>
      <c r="H64" s="15">
        <f t="shared" si="24"/>
        <v>898969.50000000012</v>
      </c>
      <c r="I64" s="16">
        <f t="shared" si="25"/>
        <v>898969.50000000012</v>
      </c>
      <c r="J64" s="16">
        <f t="shared" si="26"/>
        <v>0</v>
      </c>
    </row>
    <row r="65" spans="1:10" s="32" customFormat="1" ht="18" x14ac:dyDescent="0.3">
      <c r="A65" s="27" t="s">
        <v>100</v>
      </c>
      <c r="B65" s="26" t="s">
        <v>94</v>
      </c>
      <c r="C65" s="27" t="s">
        <v>84</v>
      </c>
      <c r="D65" s="27">
        <v>900</v>
      </c>
      <c r="E65" s="28">
        <f t="shared" si="23"/>
        <v>233.33400000000003</v>
      </c>
      <c r="F65" s="29">
        <v>0</v>
      </c>
      <c r="G65" s="29">
        <v>233.33400000000003</v>
      </c>
      <c r="H65" s="30">
        <f t="shared" si="24"/>
        <v>210000.60000000003</v>
      </c>
      <c r="I65" s="31">
        <f t="shared" si="25"/>
        <v>0</v>
      </c>
      <c r="J65" s="31">
        <f t="shared" si="26"/>
        <v>210000.60000000003</v>
      </c>
    </row>
    <row r="66" spans="1:10" s="32" customFormat="1" ht="36" x14ac:dyDescent="0.3">
      <c r="A66" s="27" t="s">
        <v>101</v>
      </c>
      <c r="B66" s="26" t="s">
        <v>95</v>
      </c>
      <c r="C66" s="27" t="s">
        <v>84</v>
      </c>
      <c r="D66" s="27">
        <v>700</v>
      </c>
      <c r="E66" s="28">
        <f t="shared" si="23"/>
        <v>187.27200000000002</v>
      </c>
      <c r="F66" s="29">
        <v>0</v>
      </c>
      <c r="G66" s="29">
        <v>187.27200000000002</v>
      </c>
      <c r="H66" s="30">
        <f t="shared" si="24"/>
        <v>131090.40000000002</v>
      </c>
      <c r="I66" s="31">
        <f t="shared" si="25"/>
        <v>0</v>
      </c>
      <c r="J66" s="31">
        <f t="shared" si="26"/>
        <v>131090.40000000002</v>
      </c>
    </row>
    <row r="67" spans="1:10" s="32" customFormat="1" ht="18" x14ac:dyDescent="0.3">
      <c r="A67" s="27" t="s">
        <v>102</v>
      </c>
      <c r="B67" s="26" t="s">
        <v>96</v>
      </c>
      <c r="C67" s="27" t="s">
        <v>84</v>
      </c>
      <c r="D67" s="27">
        <v>250</v>
      </c>
      <c r="E67" s="28">
        <f t="shared" si="23"/>
        <v>263.73599999999999</v>
      </c>
      <c r="F67" s="29">
        <v>0</v>
      </c>
      <c r="G67" s="29">
        <v>263.73599999999999</v>
      </c>
      <c r="H67" s="30">
        <f t="shared" si="24"/>
        <v>65934</v>
      </c>
      <c r="I67" s="31">
        <f t="shared" si="25"/>
        <v>0</v>
      </c>
      <c r="J67" s="31">
        <f t="shared" si="26"/>
        <v>65934</v>
      </c>
    </row>
    <row r="68" spans="1:10" s="32" customFormat="1" ht="18" x14ac:dyDescent="0.3">
      <c r="A68" s="27" t="s">
        <v>103</v>
      </c>
      <c r="B68" s="26" t="s">
        <v>97</v>
      </c>
      <c r="C68" s="27" t="s">
        <v>84</v>
      </c>
      <c r="D68" s="27">
        <v>800</v>
      </c>
      <c r="E68" s="28">
        <f t="shared" si="23"/>
        <v>137.78640000000001</v>
      </c>
      <c r="F68" s="29">
        <v>0</v>
      </c>
      <c r="G68" s="29">
        <v>137.78640000000001</v>
      </c>
      <c r="H68" s="30">
        <f t="shared" si="24"/>
        <v>110229.12000000001</v>
      </c>
      <c r="I68" s="31">
        <f t="shared" si="25"/>
        <v>0</v>
      </c>
      <c r="J68" s="31">
        <f t="shared" si="26"/>
        <v>110229.12000000001</v>
      </c>
    </row>
    <row r="69" spans="1:10" s="32" customFormat="1" ht="36" x14ac:dyDescent="0.3">
      <c r="A69" s="27" t="s">
        <v>104</v>
      </c>
      <c r="B69" s="26" t="s">
        <v>98</v>
      </c>
      <c r="C69" s="27" t="s">
        <v>84</v>
      </c>
      <c r="D69" s="27">
        <v>3200</v>
      </c>
      <c r="E69" s="28">
        <f t="shared" si="23"/>
        <v>92.350800000000007</v>
      </c>
      <c r="F69" s="29">
        <v>0</v>
      </c>
      <c r="G69" s="29">
        <v>92.350800000000007</v>
      </c>
      <c r="H69" s="30">
        <f t="shared" si="24"/>
        <v>295522.56</v>
      </c>
      <c r="I69" s="31">
        <f t="shared" si="25"/>
        <v>0</v>
      </c>
      <c r="J69" s="31">
        <f t="shared" si="26"/>
        <v>295522.56</v>
      </c>
    </row>
    <row r="70" spans="1:10" s="32" customFormat="1" ht="36" x14ac:dyDescent="0.3">
      <c r="A70" s="27" t="s">
        <v>105</v>
      </c>
      <c r="B70" s="26" t="s">
        <v>99</v>
      </c>
      <c r="C70" s="27" t="s">
        <v>84</v>
      </c>
      <c r="D70" s="27">
        <v>500</v>
      </c>
      <c r="E70" s="28">
        <f t="shared" si="23"/>
        <v>39.992400000000004</v>
      </c>
      <c r="F70" s="29">
        <v>0</v>
      </c>
      <c r="G70" s="29">
        <v>39.992400000000004</v>
      </c>
      <c r="H70" s="30">
        <f t="shared" si="24"/>
        <v>19996.2</v>
      </c>
      <c r="I70" s="31">
        <f t="shared" si="25"/>
        <v>0</v>
      </c>
      <c r="J70" s="31">
        <f t="shared" si="26"/>
        <v>19996.2</v>
      </c>
    </row>
    <row r="71" spans="1:10" s="32" customFormat="1" ht="18" x14ac:dyDescent="0.3">
      <c r="A71" s="27" t="s">
        <v>116</v>
      </c>
      <c r="B71" s="26" t="s">
        <v>115</v>
      </c>
      <c r="C71" s="27" t="s">
        <v>20</v>
      </c>
      <c r="D71" s="27">
        <v>2000</v>
      </c>
      <c r="E71" s="28">
        <f t="shared" ref="E71" si="31">F71+G71</f>
        <v>0.89</v>
      </c>
      <c r="F71" s="29">
        <v>0</v>
      </c>
      <c r="G71" s="29">
        <v>0.89</v>
      </c>
      <c r="H71" s="30">
        <f t="shared" ref="H71" si="32">I71+J71</f>
        <v>1780</v>
      </c>
      <c r="I71" s="31">
        <f t="shared" ref="I71" si="33">D71*F71</f>
        <v>0</v>
      </c>
      <c r="J71" s="31">
        <f t="shared" ref="J71" si="34">D71*G71</f>
        <v>1780</v>
      </c>
    </row>
    <row r="72" spans="1:10" s="32" customFormat="1" ht="36" x14ac:dyDescent="0.3">
      <c r="A72" s="20">
        <v>14</v>
      </c>
      <c r="B72" s="23" t="s">
        <v>106</v>
      </c>
      <c r="C72" s="20" t="s">
        <v>84</v>
      </c>
      <c r="D72" s="20">
        <f>SUM(D73:D74)</f>
        <v>3200</v>
      </c>
      <c r="E72" s="24">
        <f t="shared" ref="E72" si="35">F72+G72</f>
        <v>368.31795</v>
      </c>
      <c r="F72" s="17">
        <v>368.31795</v>
      </c>
      <c r="G72" s="17">
        <v>0</v>
      </c>
      <c r="H72" s="15">
        <f t="shared" ref="H72" si="36">I72+J72</f>
        <v>1178617.44</v>
      </c>
      <c r="I72" s="16">
        <f t="shared" ref="I72" si="37">D72*F72</f>
        <v>1178617.44</v>
      </c>
      <c r="J72" s="16">
        <f t="shared" ref="J72" si="38">D72*G72</f>
        <v>0</v>
      </c>
    </row>
    <row r="73" spans="1:10" s="32" customFormat="1" ht="54" x14ac:dyDescent="0.3">
      <c r="A73" s="27" t="s">
        <v>111</v>
      </c>
      <c r="B73" s="26" t="s">
        <v>107</v>
      </c>
      <c r="C73" s="27" t="s">
        <v>84</v>
      </c>
      <c r="D73" s="27">
        <v>200</v>
      </c>
      <c r="E73" s="28">
        <f t="shared" si="23"/>
        <v>47.206800000000001</v>
      </c>
      <c r="F73" s="29">
        <v>0</v>
      </c>
      <c r="G73" s="29">
        <v>47.206800000000001</v>
      </c>
      <c r="H73" s="30">
        <f t="shared" si="24"/>
        <v>9441.36</v>
      </c>
      <c r="I73" s="31">
        <f t="shared" si="25"/>
        <v>0</v>
      </c>
      <c r="J73" s="31">
        <f t="shared" si="26"/>
        <v>9441.36</v>
      </c>
    </row>
    <row r="74" spans="1:10" s="32" customFormat="1" ht="54" x14ac:dyDescent="0.3">
      <c r="A74" s="27" t="s">
        <v>112</v>
      </c>
      <c r="B74" s="26" t="s">
        <v>108</v>
      </c>
      <c r="C74" s="27" t="s">
        <v>84</v>
      </c>
      <c r="D74" s="27">
        <v>3000</v>
      </c>
      <c r="E74" s="28">
        <f t="shared" si="23"/>
        <v>15.357600000000001</v>
      </c>
      <c r="F74" s="29">
        <v>0</v>
      </c>
      <c r="G74" s="29">
        <v>15.357600000000001</v>
      </c>
      <c r="H74" s="30">
        <f t="shared" si="24"/>
        <v>46072.800000000003</v>
      </c>
      <c r="I74" s="31">
        <f t="shared" si="25"/>
        <v>0</v>
      </c>
      <c r="J74" s="31">
        <f t="shared" si="26"/>
        <v>46072.800000000003</v>
      </c>
    </row>
    <row r="75" spans="1:10" s="32" customFormat="1" ht="18" x14ac:dyDescent="0.3">
      <c r="A75" s="27" t="s">
        <v>113</v>
      </c>
      <c r="B75" s="26" t="s">
        <v>109</v>
      </c>
      <c r="C75" s="27" t="s">
        <v>20</v>
      </c>
      <c r="D75" s="27">
        <v>400</v>
      </c>
      <c r="E75" s="28">
        <f t="shared" si="23"/>
        <v>14.115600000000001</v>
      </c>
      <c r="F75" s="29">
        <v>0</v>
      </c>
      <c r="G75" s="29">
        <v>14.115600000000001</v>
      </c>
      <c r="H75" s="30">
        <f t="shared" si="24"/>
        <v>5646.24</v>
      </c>
      <c r="I75" s="31">
        <f t="shared" si="25"/>
        <v>0</v>
      </c>
      <c r="J75" s="31">
        <f t="shared" si="26"/>
        <v>5646.24</v>
      </c>
    </row>
    <row r="76" spans="1:10" s="32" customFormat="1" ht="18" x14ac:dyDescent="0.3">
      <c r="A76" s="27" t="s">
        <v>114</v>
      </c>
      <c r="B76" s="26" t="s">
        <v>110</v>
      </c>
      <c r="C76" s="27" t="s">
        <v>20</v>
      </c>
      <c r="D76" s="27">
        <v>6000</v>
      </c>
      <c r="E76" s="28">
        <f t="shared" si="23"/>
        <v>3.0132000000000003</v>
      </c>
      <c r="F76" s="29">
        <v>0</v>
      </c>
      <c r="G76" s="29">
        <v>3.0132000000000003</v>
      </c>
      <c r="H76" s="30">
        <f t="shared" si="24"/>
        <v>18079.2</v>
      </c>
      <c r="I76" s="31">
        <f t="shared" si="25"/>
        <v>0</v>
      </c>
      <c r="J76" s="31">
        <f t="shared" si="26"/>
        <v>18079.2</v>
      </c>
    </row>
    <row r="77" spans="1:10" s="32" customFormat="1" ht="18" x14ac:dyDescent="0.3">
      <c r="A77" s="20">
        <v>15</v>
      </c>
      <c r="B77" s="23" t="s">
        <v>117</v>
      </c>
      <c r="C77" s="20" t="s">
        <v>20</v>
      </c>
      <c r="D77" s="20">
        <f>D78</f>
        <v>500</v>
      </c>
      <c r="E77" s="24">
        <f t="shared" si="23"/>
        <v>1179.75</v>
      </c>
      <c r="F77" s="17">
        <v>1179.75</v>
      </c>
      <c r="G77" s="17">
        <v>0</v>
      </c>
      <c r="H77" s="15">
        <f t="shared" si="24"/>
        <v>589875</v>
      </c>
      <c r="I77" s="16">
        <f t="shared" si="25"/>
        <v>589875</v>
      </c>
      <c r="J77" s="16">
        <f t="shared" si="26"/>
        <v>0</v>
      </c>
    </row>
    <row r="78" spans="1:10" s="32" customFormat="1" ht="54" x14ac:dyDescent="0.3">
      <c r="A78" s="27" t="s">
        <v>120</v>
      </c>
      <c r="B78" s="26" t="s">
        <v>118</v>
      </c>
      <c r="C78" s="27" t="s">
        <v>20</v>
      </c>
      <c r="D78" s="27">
        <v>500</v>
      </c>
      <c r="E78" s="28">
        <f t="shared" si="23"/>
        <v>74.854800000000012</v>
      </c>
      <c r="F78" s="29">
        <v>0</v>
      </c>
      <c r="G78" s="29">
        <v>74.854800000000012</v>
      </c>
      <c r="H78" s="30">
        <f t="shared" si="24"/>
        <v>37427.400000000009</v>
      </c>
      <c r="I78" s="31">
        <f t="shared" si="25"/>
        <v>0</v>
      </c>
      <c r="J78" s="31">
        <f t="shared" si="26"/>
        <v>37427.400000000009</v>
      </c>
    </row>
    <row r="79" spans="1:10" s="32" customFormat="1" ht="18" x14ac:dyDescent="0.3">
      <c r="A79" s="27" t="s">
        <v>121</v>
      </c>
      <c r="B79" s="26" t="s">
        <v>119</v>
      </c>
      <c r="C79" s="27" t="s">
        <v>20</v>
      </c>
      <c r="D79" s="27">
        <v>1500</v>
      </c>
      <c r="E79" s="28">
        <f t="shared" si="23"/>
        <v>27.151200000000003</v>
      </c>
      <c r="F79" s="29">
        <v>0</v>
      </c>
      <c r="G79" s="29">
        <v>27.151200000000003</v>
      </c>
      <c r="H79" s="30">
        <f t="shared" si="24"/>
        <v>40726.800000000003</v>
      </c>
      <c r="I79" s="31">
        <f t="shared" si="25"/>
        <v>0</v>
      </c>
      <c r="J79" s="31">
        <f t="shared" si="26"/>
        <v>40726.800000000003</v>
      </c>
    </row>
    <row r="80" spans="1:10" s="32" customFormat="1" ht="17.399999999999999" x14ac:dyDescent="0.3">
      <c r="A80" s="14"/>
      <c r="B80" s="14" t="s">
        <v>198</v>
      </c>
      <c r="C80" s="14"/>
      <c r="D80" s="14"/>
      <c r="E80" s="14"/>
      <c r="F80" s="14"/>
      <c r="G80" s="14"/>
      <c r="H80" s="14"/>
      <c r="I80" s="14"/>
      <c r="J80" s="14"/>
    </row>
    <row r="81" spans="1:10" s="32" customFormat="1" ht="36" x14ac:dyDescent="0.3">
      <c r="A81" s="20">
        <v>16</v>
      </c>
      <c r="B81" s="23" t="s">
        <v>83</v>
      </c>
      <c r="C81" s="20" t="s">
        <v>84</v>
      </c>
      <c r="D81" s="20">
        <f>SUM(D82:D84)</f>
        <v>60</v>
      </c>
      <c r="E81" s="24">
        <f t="shared" ref="E81:E85" si="39">F81+G81</f>
        <v>300.12840000000006</v>
      </c>
      <c r="F81" s="17">
        <v>300.12840000000006</v>
      </c>
      <c r="G81" s="17">
        <v>0</v>
      </c>
      <c r="H81" s="15">
        <f t="shared" ref="H81:H85" si="40">I81+J81</f>
        <v>18007.704000000005</v>
      </c>
      <c r="I81" s="16">
        <f t="shared" ref="I81:I85" si="41">D81*F81</f>
        <v>18007.704000000005</v>
      </c>
      <c r="J81" s="16">
        <f t="shared" ref="J81:J85" si="42">D81*G81</f>
        <v>0</v>
      </c>
    </row>
    <row r="82" spans="1:10" s="32" customFormat="1" ht="36" x14ac:dyDescent="0.3">
      <c r="A82" s="27" t="s">
        <v>126</v>
      </c>
      <c r="B82" s="26" t="s">
        <v>199</v>
      </c>
      <c r="C82" s="27" t="s">
        <v>84</v>
      </c>
      <c r="D82" s="27">
        <v>40</v>
      </c>
      <c r="E82" s="28">
        <f t="shared" si="39"/>
        <v>2607.5736000000002</v>
      </c>
      <c r="F82" s="29">
        <v>0</v>
      </c>
      <c r="G82" s="29">
        <v>2607.5736000000002</v>
      </c>
      <c r="H82" s="30">
        <f t="shared" si="40"/>
        <v>104302.944</v>
      </c>
      <c r="I82" s="31">
        <f t="shared" si="41"/>
        <v>0</v>
      </c>
      <c r="J82" s="31">
        <f t="shared" si="42"/>
        <v>104302.944</v>
      </c>
    </row>
    <row r="83" spans="1:10" s="32" customFormat="1" ht="36" x14ac:dyDescent="0.3">
      <c r="A83" s="27" t="s">
        <v>127</v>
      </c>
      <c r="B83" s="26" t="s">
        <v>200</v>
      </c>
      <c r="C83" s="27" t="s">
        <v>84</v>
      </c>
      <c r="D83" s="27">
        <v>10</v>
      </c>
      <c r="E83" s="28">
        <f t="shared" si="39"/>
        <v>379.57679999999999</v>
      </c>
      <c r="F83" s="29">
        <v>0</v>
      </c>
      <c r="G83" s="29">
        <v>379.57679999999999</v>
      </c>
      <c r="H83" s="30">
        <f t="shared" si="40"/>
        <v>3795.768</v>
      </c>
      <c r="I83" s="31">
        <f t="shared" si="41"/>
        <v>0</v>
      </c>
      <c r="J83" s="31">
        <f t="shared" si="42"/>
        <v>3795.768</v>
      </c>
    </row>
    <row r="84" spans="1:10" s="32" customFormat="1" ht="36" x14ac:dyDescent="0.3">
      <c r="A84" s="27" t="s">
        <v>128</v>
      </c>
      <c r="B84" s="26" t="s">
        <v>201</v>
      </c>
      <c r="C84" s="27" t="s">
        <v>84</v>
      </c>
      <c r="D84" s="27">
        <v>10</v>
      </c>
      <c r="E84" s="28">
        <f t="shared" si="39"/>
        <v>262.07280000000003</v>
      </c>
      <c r="F84" s="29">
        <v>0</v>
      </c>
      <c r="G84" s="29">
        <v>262.07280000000003</v>
      </c>
      <c r="H84" s="30">
        <f t="shared" si="40"/>
        <v>2620.7280000000001</v>
      </c>
      <c r="I84" s="31">
        <f t="shared" si="41"/>
        <v>0</v>
      </c>
      <c r="J84" s="31">
        <f t="shared" si="42"/>
        <v>2620.7280000000001</v>
      </c>
    </row>
    <row r="85" spans="1:10" s="32" customFormat="1" ht="36" x14ac:dyDescent="0.3">
      <c r="A85" s="20">
        <v>17</v>
      </c>
      <c r="B85" s="23" t="s">
        <v>93</v>
      </c>
      <c r="C85" s="20" t="s">
        <v>84</v>
      </c>
      <c r="D85" s="20">
        <f>SUM(D86:D88)</f>
        <v>2100</v>
      </c>
      <c r="E85" s="24">
        <f t="shared" si="39"/>
        <v>141.57000000000002</v>
      </c>
      <c r="F85" s="17">
        <v>141.57000000000002</v>
      </c>
      <c r="G85" s="17">
        <v>0</v>
      </c>
      <c r="H85" s="15">
        <f t="shared" si="40"/>
        <v>297297.00000000006</v>
      </c>
      <c r="I85" s="16">
        <f t="shared" si="41"/>
        <v>297297.00000000006</v>
      </c>
      <c r="J85" s="16">
        <f t="shared" si="42"/>
        <v>0</v>
      </c>
    </row>
    <row r="86" spans="1:10" s="32" customFormat="1" ht="36" x14ac:dyDescent="0.3">
      <c r="A86" s="27" t="s">
        <v>133</v>
      </c>
      <c r="B86" s="26" t="s">
        <v>202</v>
      </c>
      <c r="C86" s="27" t="s">
        <v>84</v>
      </c>
      <c r="D86" s="27">
        <v>200</v>
      </c>
      <c r="E86" s="28">
        <f t="shared" ref="E86:E89" si="43">F86+G86</f>
        <v>164.25720000000001</v>
      </c>
      <c r="F86" s="29">
        <v>0</v>
      </c>
      <c r="G86" s="29">
        <v>164.25720000000001</v>
      </c>
      <c r="H86" s="30">
        <f t="shared" ref="H86:H89" si="44">I86+J86</f>
        <v>32851.440000000002</v>
      </c>
      <c r="I86" s="31">
        <f t="shared" ref="I86:I89" si="45">D86*F86</f>
        <v>0</v>
      </c>
      <c r="J86" s="31">
        <f t="shared" ref="J86:J89" si="46">D86*G86</f>
        <v>32851.440000000002</v>
      </c>
    </row>
    <row r="87" spans="1:10" s="32" customFormat="1" ht="36" x14ac:dyDescent="0.3">
      <c r="A87" s="27" t="s">
        <v>134</v>
      </c>
      <c r="B87" s="26" t="s">
        <v>203</v>
      </c>
      <c r="C87" s="27" t="s">
        <v>84</v>
      </c>
      <c r="D87" s="27">
        <v>1400</v>
      </c>
      <c r="E87" s="28">
        <f t="shared" si="43"/>
        <v>102.96720000000001</v>
      </c>
      <c r="F87" s="29">
        <v>0</v>
      </c>
      <c r="G87" s="29">
        <v>102.96720000000001</v>
      </c>
      <c r="H87" s="30">
        <f t="shared" si="44"/>
        <v>144154.08000000002</v>
      </c>
      <c r="I87" s="31">
        <f t="shared" si="45"/>
        <v>0</v>
      </c>
      <c r="J87" s="31">
        <f t="shared" si="46"/>
        <v>144154.08000000002</v>
      </c>
    </row>
    <row r="88" spans="1:10" s="32" customFormat="1" ht="36" x14ac:dyDescent="0.3">
      <c r="A88" s="27" t="s">
        <v>135</v>
      </c>
      <c r="B88" s="26" t="s">
        <v>204</v>
      </c>
      <c r="C88" s="27" t="s">
        <v>84</v>
      </c>
      <c r="D88" s="27">
        <v>500</v>
      </c>
      <c r="E88" s="28">
        <f t="shared" si="43"/>
        <v>49.442400000000006</v>
      </c>
      <c r="F88" s="29">
        <v>0</v>
      </c>
      <c r="G88" s="29">
        <v>49.442400000000006</v>
      </c>
      <c r="H88" s="30">
        <f t="shared" si="44"/>
        <v>24721.200000000004</v>
      </c>
      <c r="I88" s="31">
        <f t="shared" si="45"/>
        <v>0</v>
      </c>
      <c r="J88" s="31">
        <f t="shared" si="46"/>
        <v>24721.200000000004</v>
      </c>
    </row>
    <row r="89" spans="1:10" s="32" customFormat="1" ht="36" x14ac:dyDescent="0.3">
      <c r="A89" s="20">
        <v>18</v>
      </c>
      <c r="B89" s="23" t="s">
        <v>106</v>
      </c>
      <c r="C89" s="20" t="s">
        <v>84</v>
      </c>
      <c r="D89" s="20">
        <f>D90</f>
        <v>2100</v>
      </c>
      <c r="E89" s="24">
        <f t="shared" si="43"/>
        <v>368.31795</v>
      </c>
      <c r="F89" s="17">
        <v>368.31795</v>
      </c>
      <c r="G89" s="17">
        <v>0</v>
      </c>
      <c r="H89" s="15">
        <f t="shared" si="44"/>
        <v>773467.69499999995</v>
      </c>
      <c r="I89" s="16">
        <f t="shared" si="45"/>
        <v>773467.69499999995</v>
      </c>
      <c r="J89" s="16">
        <f t="shared" si="46"/>
        <v>0</v>
      </c>
    </row>
    <row r="90" spans="1:10" s="32" customFormat="1" ht="72" x14ac:dyDescent="0.3">
      <c r="A90" s="27" t="s">
        <v>139</v>
      </c>
      <c r="B90" s="26" t="s">
        <v>205</v>
      </c>
      <c r="C90" s="27" t="s">
        <v>84</v>
      </c>
      <c r="D90" s="27">
        <v>2100</v>
      </c>
      <c r="E90" s="28">
        <f t="shared" ref="E90:E93" si="47">F90+G90</f>
        <v>104.7492</v>
      </c>
      <c r="F90" s="29">
        <v>0</v>
      </c>
      <c r="G90" s="29">
        <v>104.7492</v>
      </c>
      <c r="H90" s="30">
        <f t="shared" ref="H90:H93" si="48">I90+J90</f>
        <v>219973.32</v>
      </c>
      <c r="I90" s="31">
        <f t="shared" ref="I90:I93" si="49">D90*F90</f>
        <v>0</v>
      </c>
      <c r="J90" s="31">
        <f t="shared" ref="J90:J93" si="50">D90*G90</f>
        <v>219973.32</v>
      </c>
    </row>
    <row r="91" spans="1:10" s="32" customFormat="1" ht="72" x14ac:dyDescent="0.3">
      <c r="A91" s="27" t="s">
        <v>140</v>
      </c>
      <c r="B91" s="26" t="s">
        <v>206</v>
      </c>
      <c r="C91" s="27" t="s">
        <v>20</v>
      </c>
      <c r="D91" s="27">
        <v>4200</v>
      </c>
      <c r="E91" s="28">
        <f t="shared" si="47"/>
        <v>11.577600000000002</v>
      </c>
      <c r="F91" s="29">
        <v>0</v>
      </c>
      <c r="G91" s="29">
        <v>11.577600000000002</v>
      </c>
      <c r="H91" s="30">
        <f t="shared" si="48"/>
        <v>48625.920000000006</v>
      </c>
      <c r="I91" s="31">
        <f t="shared" si="49"/>
        <v>0</v>
      </c>
      <c r="J91" s="31">
        <f t="shared" si="50"/>
        <v>48625.920000000006</v>
      </c>
    </row>
    <row r="92" spans="1:10" s="32" customFormat="1" ht="36" x14ac:dyDescent="0.3">
      <c r="A92" s="27" t="s">
        <v>208</v>
      </c>
      <c r="B92" s="26" t="s">
        <v>207</v>
      </c>
      <c r="C92" s="27" t="s">
        <v>20</v>
      </c>
      <c r="D92" s="27">
        <v>50</v>
      </c>
      <c r="E92" s="28">
        <f t="shared" si="47"/>
        <v>20.141999999999999</v>
      </c>
      <c r="F92" s="29">
        <v>0</v>
      </c>
      <c r="G92" s="29">
        <v>20.141999999999999</v>
      </c>
      <c r="H92" s="30">
        <f t="shared" si="48"/>
        <v>1007.1</v>
      </c>
      <c r="I92" s="31">
        <f t="shared" si="49"/>
        <v>0</v>
      </c>
      <c r="J92" s="31">
        <f t="shared" si="50"/>
        <v>1007.1</v>
      </c>
    </row>
    <row r="93" spans="1:10" s="32" customFormat="1" ht="18" x14ac:dyDescent="0.3">
      <c r="A93" s="20">
        <v>19</v>
      </c>
      <c r="B93" s="23" t="s">
        <v>117</v>
      </c>
      <c r="C93" s="20" t="s">
        <v>20</v>
      </c>
      <c r="D93" s="20">
        <f>D94</f>
        <v>30</v>
      </c>
      <c r="E93" s="24">
        <f t="shared" si="47"/>
        <v>1179.75</v>
      </c>
      <c r="F93" s="17">
        <v>1179.75</v>
      </c>
      <c r="G93" s="17">
        <v>0</v>
      </c>
      <c r="H93" s="15">
        <f t="shared" si="48"/>
        <v>35392.5</v>
      </c>
      <c r="I93" s="16">
        <f t="shared" si="49"/>
        <v>35392.5</v>
      </c>
      <c r="J93" s="16">
        <f t="shared" si="50"/>
        <v>0</v>
      </c>
    </row>
    <row r="94" spans="1:10" s="32" customFormat="1" ht="72" x14ac:dyDescent="0.3">
      <c r="A94" s="27" t="s">
        <v>143</v>
      </c>
      <c r="B94" s="26" t="s">
        <v>209</v>
      </c>
      <c r="C94" s="27" t="s">
        <v>20</v>
      </c>
      <c r="D94" s="27">
        <v>30</v>
      </c>
      <c r="E94" s="28">
        <f t="shared" ref="E94" si="51">F94+G94</f>
        <v>858.16800000000012</v>
      </c>
      <c r="F94" s="29">
        <v>0</v>
      </c>
      <c r="G94" s="29">
        <v>858.16800000000012</v>
      </c>
      <c r="H94" s="30">
        <f t="shared" ref="H94" si="52">I94+J94</f>
        <v>25745.040000000005</v>
      </c>
      <c r="I94" s="31">
        <f t="shared" ref="I94" si="53">D94*F94</f>
        <v>0</v>
      </c>
      <c r="J94" s="31">
        <f t="shared" ref="J94" si="54">D94*G94</f>
        <v>25745.040000000005</v>
      </c>
    </row>
    <row r="95" spans="1:10" s="32" customFormat="1" ht="17.399999999999999" x14ac:dyDescent="0.3">
      <c r="A95" s="14"/>
      <c r="B95" s="14" t="s">
        <v>122</v>
      </c>
      <c r="C95" s="14"/>
      <c r="D95" s="14"/>
      <c r="E95" s="14"/>
      <c r="F95" s="14"/>
      <c r="G95" s="14"/>
      <c r="H95" s="14"/>
      <c r="I95" s="14"/>
      <c r="J95" s="14"/>
    </row>
    <row r="96" spans="1:10" s="32" customFormat="1" ht="36" x14ac:dyDescent="0.3">
      <c r="A96" s="20">
        <v>20</v>
      </c>
      <c r="B96" s="23" t="s">
        <v>235</v>
      </c>
      <c r="C96" s="20" t="s">
        <v>20</v>
      </c>
      <c r="D96" s="20">
        <f>D97</f>
        <v>16</v>
      </c>
      <c r="E96" s="24">
        <f t="shared" ref="E96" si="55">F96+G96</f>
        <v>4247.1000000000013</v>
      </c>
      <c r="F96" s="17">
        <v>4247.1000000000013</v>
      </c>
      <c r="G96" s="17">
        <v>0</v>
      </c>
      <c r="H96" s="15">
        <f t="shared" ref="H96" si="56">I96+J96</f>
        <v>67953.60000000002</v>
      </c>
      <c r="I96" s="16">
        <f t="shared" ref="I96" si="57">D96*F96</f>
        <v>67953.60000000002</v>
      </c>
      <c r="J96" s="16">
        <f t="shared" ref="J96" si="58">D96*G96</f>
        <v>0</v>
      </c>
    </row>
    <row r="97" spans="1:10" s="32" customFormat="1" ht="54" x14ac:dyDescent="0.3">
      <c r="A97" s="27" t="s">
        <v>148</v>
      </c>
      <c r="B97" s="26" t="s">
        <v>123</v>
      </c>
      <c r="C97" s="27" t="s">
        <v>20</v>
      </c>
      <c r="D97" s="27">
        <v>16</v>
      </c>
      <c r="E97" s="28">
        <f t="shared" si="23"/>
        <v>95.115600000000001</v>
      </c>
      <c r="F97" s="29">
        <v>0</v>
      </c>
      <c r="G97" s="29">
        <v>95.115600000000001</v>
      </c>
      <c r="H97" s="30">
        <f t="shared" si="24"/>
        <v>1521.8496</v>
      </c>
      <c r="I97" s="31">
        <f t="shared" si="25"/>
        <v>0</v>
      </c>
      <c r="J97" s="31">
        <f t="shared" si="26"/>
        <v>1521.8496</v>
      </c>
    </row>
    <row r="98" spans="1:10" s="32" customFormat="1" ht="54" x14ac:dyDescent="0.3">
      <c r="A98" s="27" t="s">
        <v>210</v>
      </c>
      <c r="B98" s="26" t="s">
        <v>124</v>
      </c>
      <c r="C98" s="27" t="s">
        <v>20</v>
      </c>
      <c r="D98" s="27">
        <v>16</v>
      </c>
      <c r="E98" s="28">
        <f t="shared" si="23"/>
        <v>243.97200000000001</v>
      </c>
      <c r="F98" s="29">
        <v>0</v>
      </c>
      <c r="G98" s="29">
        <v>243.97200000000001</v>
      </c>
      <c r="H98" s="30">
        <f t="shared" si="24"/>
        <v>3903.5520000000001</v>
      </c>
      <c r="I98" s="31">
        <f t="shared" si="25"/>
        <v>0</v>
      </c>
      <c r="J98" s="31">
        <f t="shared" si="26"/>
        <v>3903.5520000000001</v>
      </c>
    </row>
    <row r="99" spans="1:10" s="32" customFormat="1" ht="54" x14ac:dyDescent="0.3">
      <c r="A99" s="27" t="s">
        <v>211</v>
      </c>
      <c r="B99" s="26" t="s">
        <v>125</v>
      </c>
      <c r="C99" s="27" t="s">
        <v>20</v>
      </c>
      <c r="D99" s="27">
        <v>16</v>
      </c>
      <c r="E99" s="28">
        <f t="shared" si="23"/>
        <v>257.51519999999999</v>
      </c>
      <c r="F99" s="29">
        <v>0</v>
      </c>
      <c r="G99" s="29">
        <v>257.51519999999999</v>
      </c>
      <c r="H99" s="30">
        <f t="shared" si="24"/>
        <v>4120.2431999999999</v>
      </c>
      <c r="I99" s="31">
        <f t="shared" si="25"/>
        <v>0</v>
      </c>
      <c r="J99" s="31">
        <f t="shared" si="26"/>
        <v>4120.2431999999999</v>
      </c>
    </row>
    <row r="100" spans="1:10" s="32" customFormat="1" ht="18" x14ac:dyDescent="0.3">
      <c r="A100" s="20">
        <v>21</v>
      </c>
      <c r="B100" s="23" t="s">
        <v>129</v>
      </c>
      <c r="C100" s="20" t="s">
        <v>20</v>
      </c>
      <c r="D100" s="20">
        <f>SUM(D101:D103)</f>
        <v>63</v>
      </c>
      <c r="E100" s="24">
        <f t="shared" si="23"/>
        <v>620.3125500000001</v>
      </c>
      <c r="F100" s="17">
        <v>620.3125500000001</v>
      </c>
      <c r="G100" s="17">
        <v>0</v>
      </c>
      <c r="H100" s="15">
        <f t="shared" si="24"/>
        <v>39079.690650000004</v>
      </c>
      <c r="I100" s="16">
        <f t="shared" si="25"/>
        <v>39079.690650000004</v>
      </c>
      <c r="J100" s="16">
        <f t="shared" si="26"/>
        <v>0</v>
      </c>
    </row>
    <row r="101" spans="1:10" s="32" customFormat="1" ht="54" x14ac:dyDescent="0.3">
      <c r="A101" s="27" t="s">
        <v>160</v>
      </c>
      <c r="B101" s="26" t="s">
        <v>130</v>
      </c>
      <c r="C101" s="27" t="s">
        <v>20</v>
      </c>
      <c r="D101" s="27">
        <v>40</v>
      </c>
      <c r="E101" s="28">
        <f t="shared" si="23"/>
        <v>56.559600000000003</v>
      </c>
      <c r="F101" s="29">
        <v>0</v>
      </c>
      <c r="G101" s="29">
        <v>56.559600000000003</v>
      </c>
      <c r="H101" s="30">
        <f t="shared" si="24"/>
        <v>2262.384</v>
      </c>
      <c r="I101" s="31">
        <f t="shared" si="25"/>
        <v>0</v>
      </c>
      <c r="J101" s="31">
        <f t="shared" si="26"/>
        <v>2262.384</v>
      </c>
    </row>
    <row r="102" spans="1:10" s="32" customFormat="1" ht="54" x14ac:dyDescent="0.3">
      <c r="A102" s="27" t="s">
        <v>161</v>
      </c>
      <c r="B102" s="26" t="s">
        <v>131</v>
      </c>
      <c r="C102" s="27" t="s">
        <v>20</v>
      </c>
      <c r="D102" s="27">
        <v>13</v>
      </c>
      <c r="E102" s="28">
        <f t="shared" si="23"/>
        <v>68.752800000000008</v>
      </c>
      <c r="F102" s="29">
        <v>0</v>
      </c>
      <c r="G102" s="29">
        <v>68.752800000000008</v>
      </c>
      <c r="H102" s="30">
        <f t="shared" si="24"/>
        <v>893.78640000000007</v>
      </c>
      <c r="I102" s="31">
        <f t="shared" si="25"/>
        <v>0</v>
      </c>
      <c r="J102" s="31">
        <f t="shared" si="26"/>
        <v>893.78640000000007</v>
      </c>
    </row>
    <row r="103" spans="1:10" s="32" customFormat="1" ht="72" x14ac:dyDescent="0.3">
      <c r="A103" s="27" t="s">
        <v>162</v>
      </c>
      <c r="B103" s="26" t="s">
        <v>132</v>
      </c>
      <c r="C103" s="27" t="s">
        <v>20</v>
      </c>
      <c r="D103" s="27">
        <v>10</v>
      </c>
      <c r="E103" s="28">
        <f t="shared" si="23"/>
        <v>258.64920000000001</v>
      </c>
      <c r="F103" s="29">
        <v>0</v>
      </c>
      <c r="G103" s="29">
        <v>258.64920000000001</v>
      </c>
      <c r="H103" s="30">
        <f t="shared" si="24"/>
        <v>2586.4920000000002</v>
      </c>
      <c r="I103" s="31">
        <f t="shared" si="25"/>
        <v>0</v>
      </c>
      <c r="J103" s="31">
        <f t="shared" si="26"/>
        <v>2586.4920000000002</v>
      </c>
    </row>
    <row r="104" spans="1:10" s="32" customFormat="1" ht="18" x14ac:dyDescent="0.3">
      <c r="A104" s="20">
        <v>22</v>
      </c>
      <c r="B104" s="23" t="s">
        <v>136</v>
      </c>
      <c r="C104" s="20" t="s">
        <v>20</v>
      </c>
      <c r="D104" s="20">
        <f>SUM(D105:D108)</f>
        <v>184</v>
      </c>
      <c r="E104" s="24">
        <f t="shared" ref="E104" si="59">F104+G104</f>
        <v>816.62295000000006</v>
      </c>
      <c r="F104" s="17">
        <v>816.62295000000006</v>
      </c>
      <c r="G104" s="17">
        <v>0</v>
      </c>
      <c r="H104" s="15">
        <f t="shared" ref="H104" si="60">I104+J104</f>
        <v>150258.62280000001</v>
      </c>
      <c r="I104" s="16">
        <f t="shared" ref="I104" si="61">D104*F104</f>
        <v>150258.62280000001</v>
      </c>
      <c r="J104" s="16">
        <f t="shared" ref="J104" si="62">D104*G104</f>
        <v>0</v>
      </c>
    </row>
    <row r="105" spans="1:10" s="32" customFormat="1" ht="72" x14ac:dyDescent="0.3">
      <c r="A105" s="27" t="s">
        <v>174</v>
      </c>
      <c r="B105" s="26" t="s">
        <v>137</v>
      </c>
      <c r="C105" s="27" t="s">
        <v>20</v>
      </c>
      <c r="D105" s="27">
        <v>11</v>
      </c>
      <c r="E105" s="28">
        <f t="shared" si="23"/>
        <v>66.798000000000002</v>
      </c>
      <c r="F105" s="29">
        <v>0</v>
      </c>
      <c r="G105" s="29">
        <v>66.798000000000002</v>
      </c>
      <c r="H105" s="30">
        <f t="shared" si="24"/>
        <v>734.77800000000002</v>
      </c>
      <c r="I105" s="31">
        <f t="shared" si="25"/>
        <v>0</v>
      </c>
      <c r="J105" s="31">
        <f t="shared" si="26"/>
        <v>734.77800000000002</v>
      </c>
    </row>
    <row r="106" spans="1:10" s="32" customFormat="1" ht="54" x14ac:dyDescent="0.3">
      <c r="A106" s="27" t="s">
        <v>212</v>
      </c>
      <c r="B106" s="26" t="s">
        <v>138</v>
      </c>
      <c r="C106" s="27" t="s">
        <v>20</v>
      </c>
      <c r="D106" s="27">
        <v>11</v>
      </c>
      <c r="E106" s="28">
        <f t="shared" si="23"/>
        <v>288.58679999999998</v>
      </c>
      <c r="F106" s="29">
        <v>0</v>
      </c>
      <c r="G106" s="29">
        <v>288.58679999999998</v>
      </c>
      <c r="H106" s="30">
        <f t="shared" si="24"/>
        <v>3174.4548</v>
      </c>
      <c r="I106" s="31">
        <f t="shared" si="25"/>
        <v>0</v>
      </c>
      <c r="J106" s="31">
        <f t="shared" si="26"/>
        <v>3174.4548</v>
      </c>
    </row>
    <row r="107" spans="1:10" s="32" customFormat="1" ht="54" x14ac:dyDescent="0.3">
      <c r="A107" s="27" t="s">
        <v>213</v>
      </c>
      <c r="B107" s="26" t="s">
        <v>144</v>
      </c>
      <c r="C107" s="27" t="s">
        <v>20</v>
      </c>
      <c r="D107" s="27">
        <v>152</v>
      </c>
      <c r="E107" s="28">
        <f t="shared" ref="E107:E108" si="63">F107+G107</f>
        <v>446.7312</v>
      </c>
      <c r="F107" s="29">
        <v>0</v>
      </c>
      <c r="G107" s="29">
        <v>446.7312</v>
      </c>
      <c r="H107" s="30">
        <f t="shared" ref="H107:H108" si="64">I107+J107</f>
        <v>67903.142399999997</v>
      </c>
      <c r="I107" s="31">
        <f t="shared" ref="I107:I108" si="65">D107*F107</f>
        <v>0</v>
      </c>
      <c r="J107" s="31">
        <f t="shared" ref="J107:J108" si="66">D107*G107</f>
        <v>67903.142399999997</v>
      </c>
    </row>
    <row r="108" spans="1:10" s="32" customFormat="1" ht="36" x14ac:dyDescent="0.3">
      <c r="A108" s="27" t="s">
        <v>214</v>
      </c>
      <c r="B108" s="26" t="s">
        <v>145</v>
      </c>
      <c r="C108" s="27" t="s">
        <v>20</v>
      </c>
      <c r="D108" s="27">
        <v>10</v>
      </c>
      <c r="E108" s="28">
        <f t="shared" si="63"/>
        <v>428.13360000000006</v>
      </c>
      <c r="F108" s="29">
        <v>0</v>
      </c>
      <c r="G108" s="29">
        <v>428.13360000000006</v>
      </c>
      <c r="H108" s="30">
        <f t="shared" si="64"/>
        <v>4281.3360000000002</v>
      </c>
      <c r="I108" s="31">
        <f t="shared" si="65"/>
        <v>0</v>
      </c>
      <c r="J108" s="31">
        <f t="shared" si="66"/>
        <v>4281.3360000000002</v>
      </c>
    </row>
    <row r="109" spans="1:10" s="32" customFormat="1" ht="18" x14ac:dyDescent="0.3">
      <c r="A109" s="20">
        <v>23</v>
      </c>
      <c r="B109" s="23" t="s">
        <v>141</v>
      </c>
      <c r="C109" s="20" t="s">
        <v>20</v>
      </c>
      <c r="D109" s="20">
        <f>D110</f>
        <v>80</v>
      </c>
      <c r="E109" s="24">
        <f t="shared" si="23"/>
        <v>1179.75</v>
      </c>
      <c r="F109" s="17">
        <v>1179.75</v>
      </c>
      <c r="G109" s="17">
        <v>0</v>
      </c>
      <c r="H109" s="15">
        <f t="shared" si="24"/>
        <v>94380</v>
      </c>
      <c r="I109" s="16">
        <f t="shared" si="25"/>
        <v>94380</v>
      </c>
      <c r="J109" s="16">
        <f t="shared" si="26"/>
        <v>0</v>
      </c>
    </row>
    <row r="110" spans="1:10" s="32" customFormat="1" ht="18" x14ac:dyDescent="0.3">
      <c r="A110" s="27" t="s">
        <v>175</v>
      </c>
      <c r="B110" s="26" t="s">
        <v>142</v>
      </c>
      <c r="C110" s="27" t="s">
        <v>20</v>
      </c>
      <c r="D110" s="27">
        <v>80</v>
      </c>
      <c r="E110" s="28">
        <f t="shared" si="23"/>
        <v>9.18</v>
      </c>
      <c r="F110" s="29">
        <v>0</v>
      </c>
      <c r="G110" s="29">
        <v>9.18</v>
      </c>
      <c r="H110" s="30">
        <f t="shared" si="24"/>
        <v>734.4</v>
      </c>
      <c r="I110" s="31">
        <f t="shared" si="25"/>
        <v>0</v>
      </c>
      <c r="J110" s="31">
        <f t="shared" si="26"/>
        <v>734.4</v>
      </c>
    </row>
    <row r="111" spans="1:10" s="32" customFormat="1" ht="36" x14ac:dyDescent="0.3">
      <c r="A111" s="20">
        <v>24</v>
      </c>
      <c r="B111" s="23" t="s">
        <v>146</v>
      </c>
      <c r="C111" s="20" t="s">
        <v>84</v>
      </c>
      <c r="D111" s="20">
        <f>D112</f>
        <v>150</v>
      </c>
      <c r="E111" s="24">
        <f t="shared" ref="E111" si="67">F111+G111</f>
        <v>479.92230000000006</v>
      </c>
      <c r="F111" s="17">
        <v>479.92230000000006</v>
      </c>
      <c r="G111" s="17">
        <v>0</v>
      </c>
      <c r="H111" s="15">
        <f t="shared" ref="H111" si="68">I111+J111</f>
        <v>71988.345000000016</v>
      </c>
      <c r="I111" s="16">
        <f t="shared" ref="I111" si="69">D111*F111</f>
        <v>71988.345000000016</v>
      </c>
      <c r="J111" s="16">
        <f t="shared" ref="J111" si="70">D111*G111</f>
        <v>0</v>
      </c>
    </row>
    <row r="112" spans="1:10" s="32" customFormat="1" ht="54" x14ac:dyDescent="0.3">
      <c r="A112" s="27" t="s">
        <v>183</v>
      </c>
      <c r="B112" s="26" t="s">
        <v>147</v>
      </c>
      <c r="C112" s="27" t="s">
        <v>84</v>
      </c>
      <c r="D112" s="27">
        <v>150</v>
      </c>
      <c r="E112" s="28">
        <f t="shared" si="23"/>
        <v>382.63320000000004</v>
      </c>
      <c r="F112" s="29">
        <v>0</v>
      </c>
      <c r="G112" s="29">
        <v>382.63320000000004</v>
      </c>
      <c r="H112" s="30">
        <f t="shared" si="24"/>
        <v>57394.98</v>
      </c>
      <c r="I112" s="31">
        <f t="shared" si="25"/>
        <v>0</v>
      </c>
      <c r="J112" s="31">
        <f t="shared" si="26"/>
        <v>57394.98</v>
      </c>
    </row>
    <row r="113" spans="1:10" s="32" customFormat="1" ht="17.399999999999999" x14ac:dyDescent="0.3">
      <c r="A113" s="14"/>
      <c r="B113" s="14" t="s">
        <v>149</v>
      </c>
      <c r="C113" s="14"/>
      <c r="D113" s="14"/>
      <c r="E113" s="14"/>
      <c r="F113" s="14"/>
      <c r="G113" s="14"/>
      <c r="H113" s="14"/>
      <c r="I113" s="14"/>
      <c r="J113" s="14"/>
    </row>
    <row r="114" spans="1:10" s="32" customFormat="1" ht="54" x14ac:dyDescent="0.3">
      <c r="A114" s="20">
        <v>25</v>
      </c>
      <c r="B114" s="23" t="s">
        <v>248</v>
      </c>
      <c r="C114" s="20" t="s">
        <v>84</v>
      </c>
      <c r="D114" s="20">
        <f>D115</f>
        <v>6</v>
      </c>
      <c r="E114" s="24">
        <f t="shared" ref="E114:E115" si="71">F114+G114</f>
        <v>1445.1937500000001</v>
      </c>
      <c r="F114" s="17">
        <v>1445.1937500000001</v>
      </c>
      <c r="G114" s="17">
        <v>0</v>
      </c>
      <c r="H114" s="15">
        <f t="shared" ref="H114:H115" si="72">I114+J114</f>
        <v>8671.1625000000004</v>
      </c>
      <c r="I114" s="16">
        <f t="shared" ref="I114:I115" si="73">D114*F114</f>
        <v>8671.1625000000004</v>
      </c>
      <c r="J114" s="16">
        <f t="shared" ref="J114:J115" si="74">D114*G114</f>
        <v>0</v>
      </c>
    </row>
    <row r="115" spans="1:10" s="32" customFormat="1" ht="36" x14ac:dyDescent="0.3">
      <c r="A115" s="27" t="s">
        <v>186</v>
      </c>
      <c r="B115" s="26" t="s">
        <v>150</v>
      </c>
      <c r="C115" s="27" t="s">
        <v>84</v>
      </c>
      <c r="D115" s="27">
        <v>6</v>
      </c>
      <c r="E115" s="28">
        <f t="shared" si="71"/>
        <v>867.32640000000015</v>
      </c>
      <c r="F115" s="29">
        <v>0</v>
      </c>
      <c r="G115" s="29">
        <v>867.32640000000015</v>
      </c>
      <c r="H115" s="30">
        <f t="shared" si="72"/>
        <v>5203.9584000000013</v>
      </c>
      <c r="I115" s="31">
        <f t="shared" si="73"/>
        <v>0</v>
      </c>
      <c r="J115" s="31">
        <f t="shared" si="74"/>
        <v>5203.9584000000013</v>
      </c>
    </row>
    <row r="116" spans="1:10" s="32" customFormat="1" ht="36" x14ac:dyDescent="0.3">
      <c r="A116" s="27" t="s">
        <v>187</v>
      </c>
      <c r="B116" s="26" t="s">
        <v>153</v>
      </c>
      <c r="C116" s="27" t="s">
        <v>20</v>
      </c>
      <c r="D116" s="27">
        <v>4</v>
      </c>
      <c r="E116" s="28">
        <f>F116+G116</f>
        <v>2397.6540000000005</v>
      </c>
      <c r="F116" s="29">
        <v>0</v>
      </c>
      <c r="G116" s="29">
        <v>2397.6540000000005</v>
      </c>
      <c r="H116" s="30">
        <f>I116+J116</f>
        <v>9590.6160000000018</v>
      </c>
      <c r="I116" s="31">
        <f>D116*F116</f>
        <v>0</v>
      </c>
      <c r="J116" s="31">
        <f>D116*G116</f>
        <v>9590.6160000000018</v>
      </c>
    </row>
    <row r="117" spans="1:10" s="32" customFormat="1" ht="54" x14ac:dyDescent="0.3">
      <c r="A117" s="20">
        <v>26</v>
      </c>
      <c r="B117" s="23" t="s">
        <v>249</v>
      </c>
      <c r="C117" s="20" t="s">
        <v>84</v>
      </c>
      <c r="D117" s="20">
        <f>SUM(D118:D119)</f>
        <v>270</v>
      </c>
      <c r="E117" s="24">
        <f t="shared" ref="E117" si="75">F117+G117</f>
        <v>2601.3487500000006</v>
      </c>
      <c r="F117" s="17">
        <v>2601.3487500000006</v>
      </c>
      <c r="G117" s="17">
        <v>0</v>
      </c>
      <c r="H117" s="15">
        <f t="shared" ref="H117" si="76">I117+J117</f>
        <v>702364.16250000021</v>
      </c>
      <c r="I117" s="16">
        <f t="shared" ref="I117" si="77">D117*F117</f>
        <v>702364.16250000021</v>
      </c>
      <c r="J117" s="16">
        <f t="shared" ref="J117" si="78">D117*G117</f>
        <v>0</v>
      </c>
    </row>
    <row r="118" spans="1:10" s="32" customFormat="1" ht="36" x14ac:dyDescent="0.3">
      <c r="A118" s="27" t="s">
        <v>192</v>
      </c>
      <c r="B118" s="26" t="s">
        <v>151</v>
      </c>
      <c r="C118" s="27" t="s">
        <v>84</v>
      </c>
      <c r="D118" s="27">
        <v>210</v>
      </c>
      <c r="E118" s="28">
        <f t="shared" si="23"/>
        <v>489.13200000000001</v>
      </c>
      <c r="F118" s="29">
        <v>0</v>
      </c>
      <c r="G118" s="29">
        <v>489.13200000000001</v>
      </c>
      <c r="H118" s="30">
        <f t="shared" si="24"/>
        <v>102717.72</v>
      </c>
      <c r="I118" s="31">
        <f t="shared" si="25"/>
        <v>0</v>
      </c>
      <c r="J118" s="31">
        <f t="shared" si="26"/>
        <v>102717.72</v>
      </c>
    </row>
    <row r="119" spans="1:10" s="32" customFormat="1" ht="36" x14ac:dyDescent="0.3">
      <c r="A119" s="27" t="s">
        <v>194</v>
      </c>
      <c r="B119" s="26" t="s">
        <v>152</v>
      </c>
      <c r="C119" s="27" t="s">
        <v>84</v>
      </c>
      <c r="D119" s="27">
        <v>60</v>
      </c>
      <c r="E119" s="28">
        <f t="shared" si="23"/>
        <v>308.79360000000003</v>
      </c>
      <c r="F119" s="29">
        <v>0</v>
      </c>
      <c r="G119" s="29">
        <v>308.79360000000003</v>
      </c>
      <c r="H119" s="30">
        <f t="shared" si="24"/>
        <v>18527.616000000002</v>
      </c>
      <c r="I119" s="31">
        <f t="shared" si="25"/>
        <v>0</v>
      </c>
      <c r="J119" s="31">
        <f t="shared" si="26"/>
        <v>18527.616000000002</v>
      </c>
    </row>
    <row r="120" spans="1:10" s="32" customFormat="1" ht="36" x14ac:dyDescent="0.3">
      <c r="A120" s="27" t="s">
        <v>215</v>
      </c>
      <c r="B120" s="26" t="s">
        <v>154</v>
      </c>
      <c r="C120" s="27" t="s">
        <v>20</v>
      </c>
      <c r="D120" s="27">
        <v>4</v>
      </c>
      <c r="E120" s="28">
        <f t="shared" si="23"/>
        <v>1530.7812000000001</v>
      </c>
      <c r="F120" s="29">
        <v>0</v>
      </c>
      <c r="G120" s="29">
        <v>1530.7812000000001</v>
      </c>
      <c r="H120" s="30">
        <f t="shared" si="24"/>
        <v>6123.1248000000005</v>
      </c>
      <c r="I120" s="31">
        <f t="shared" si="25"/>
        <v>0</v>
      </c>
      <c r="J120" s="31">
        <f t="shared" si="26"/>
        <v>6123.1248000000005</v>
      </c>
    </row>
    <row r="121" spans="1:10" s="32" customFormat="1" ht="36" x14ac:dyDescent="0.3">
      <c r="A121" s="27" t="s">
        <v>216</v>
      </c>
      <c r="B121" s="26" t="s">
        <v>155</v>
      </c>
      <c r="C121" s="27" t="s">
        <v>20</v>
      </c>
      <c r="D121" s="27">
        <v>2</v>
      </c>
      <c r="E121" s="28">
        <f t="shared" si="23"/>
        <v>1217.5164</v>
      </c>
      <c r="F121" s="29">
        <v>0</v>
      </c>
      <c r="G121" s="29">
        <v>1217.5164</v>
      </c>
      <c r="H121" s="30">
        <f t="shared" si="24"/>
        <v>2435.0328</v>
      </c>
      <c r="I121" s="31">
        <f t="shared" si="25"/>
        <v>0</v>
      </c>
      <c r="J121" s="31">
        <f t="shared" si="26"/>
        <v>2435.0328</v>
      </c>
    </row>
    <row r="122" spans="1:10" s="32" customFormat="1" ht="36" x14ac:dyDescent="0.3">
      <c r="A122" s="27" t="s">
        <v>217</v>
      </c>
      <c r="B122" s="26" t="s">
        <v>156</v>
      </c>
      <c r="C122" s="27" t="s">
        <v>20</v>
      </c>
      <c r="D122" s="27">
        <v>4</v>
      </c>
      <c r="E122" s="28">
        <f t="shared" si="23"/>
        <v>1781.4276000000002</v>
      </c>
      <c r="F122" s="29">
        <v>0</v>
      </c>
      <c r="G122" s="29">
        <v>1781.4276000000002</v>
      </c>
      <c r="H122" s="30">
        <f t="shared" si="24"/>
        <v>7125.7104000000008</v>
      </c>
      <c r="I122" s="31">
        <f t="shared" si="25"/>
        <v>0</v>
      </c>
      <c r="J122" s="31">
        <f t="shared" si="26"/>
        <v>7125.7104000000008</v>
      </c>
    </row>
    <row r="123" spans="1:10" s="32" customFormat="1" ht="36" x14ac:dyDescent="0.3">
      <c r="A123" s="27" t="s">
        <v>218</v>
      </c>
      <c r="B123" s="26" t="s">
        <v>157</v>
      </c>
      <c r="C123" s="27" t="s">
        <v>20</v>
      </c>
      <c r="D123" s="27">
        <v>10</v>
      </c>
      <c r="E123" s="28">
        <f t="shared" si="23"/>
        <v>1443.258</v>
      </c>
      <c r="F123" s="29">
        <v>0</v>
      </c>
      <c r="G123" s="29">
        <v>1443.258</v>
      </c>
      <c r="H123" s="30">
        <f t="shared" si="24"/>
        <v>14432.58</v>
      </c>
      <c r="I123" s="31">
        <f t="shared" si="25"/>
        <v>0</v>
      </c>
      <c r="J123" s="31">
        <f t="shared" si="26"/>
        <v>14432.58</v>
      </c>
    </row>
    <row r="124" spans="1:10" s="32" customFormat="1" ht="36" x14ac:dyDescent="0.3">
      <c r="A124" s="27" t="s">
        <v>219</v>
      </c>
      <c r="B124" s="26" t="s">
        <v>158</v>
      </c>
      <c r="C124" s="27" t="s">
        <v>20</v>
      </c>
      <c r="D124" s="27">
        <v>2</v>
      </c>
      <c r="E124" s="28">
        <f t="shared" si="23"/>
        <v>1744.7076000000002</v>
      </c>
      <c r="F124" s="29">
        <v>0</v>
      </c>
      <c r="G124" s="29">
        <v>1744.7076000000002</v>
      </c>
      <c r="H124" s="30">
        <f t="shared" si="24"/>
        <v>3489.4152000000004</v>
      </c>
      <c r="I124" s="31">
        <f t="shared" si="25"/>
        <v>0</v>
      </c>
      <c r="J124" s="31">
        <f t="shared" si="26"/>
        <v>3489.4152000000004</v>
      </c>
    </row>
    <row r="125" spans="1:10" s="32" customFormat="1" ht="36" x14ac:dyDescent="0.3">
      <c r="A125" s="27" t="s">
        <v>220</v>
      </c>
      <c r="B125" s="26" t="s">
        <v>159</v>
      </c>
      <c r="C125" s="27" t="s">
        <v>20</v>
      </c>
      <c r="D125" s="27">
        <v>2</v>
      </c>
      <c r="E125" s="28">
        <f t="shared" si="23"/>
        <v>1418.1695999999999</v>
      </c>
      <c r="F125" s="29">
        <v>0</v>
      </c>
      <c r="G125" s="29">
        <v>1418.1695999999999</v>
      </c>
      <c r="H125" s="30">
        <f t="shared" si="24"/>
        <v>2836.3391999999999</v>
      </c>
      <c r="I125" s="31">
        <f t="shared" si="25"/>
        <v>0</v>
      </c>
      <c r="J125" s="31">
        <f t="shared" si="26"/>
        <v>2836.3391999999999</v>
      </c>
    </row>
    <row r="126" spans="1:10" s="32" customFormat="1" ht="54" x14ac:dyDescent="0.3">
      <c r="A126" s="20">
        <v>27</v>
      </c>
      <c r="B126" s="23" t="s">
        <v>234</v>
      </c>
      <c r="C126" s="20" t="s">
        <v>20</v>
      </c>
      <c r="D126" s="20">
        <f>SUM(D127:D128)</f>
        <v>325</v>
      </c>
      <c r="E126" s="24">
        <f t="shared" si="23"/>
        <v>612.43182000000024</v>
      </c>
      <c r="F126" s="17">
        <v>612.43182000000024</v>
      </c>
      <c r="G126" s="17">
        <v>0</v>
      </c>
      <c r="H126" s="15">
        <f t="shared" si="24"/>
        <v>199040.34150000007</v>
      </c>
      <c r="I126" s="16">
        <f t="shared" si="25"/>
        <v>199040.34150000007</v>
      </c>
      <c r="J126" s="16">
        <f t="shared" si="26"/>
        <v>0</v>
      </c>
    </row>
    <row r="127" spans="1:10" s="32" customFormat="1" ht="36" x14ac:dyDescent="0.3">
      <c r="A127" s="27" t="s">
        <v>196</v>
      </c>
      <c r="B127" s="26" t="s">
        <v>163</v>
      </c>
      <c r="C127" s="27" t="s">
        <v>20</v>
      </c>
      <c r="D127" s="27">
        <v>25</v>
      </c>
      <c r="E127" s="28">
        <f t="shared" si="23"/>
        <v>437.07600000000002</v>
      </c>
      <c r="F127" s="29">
        <v>0</v>
      </c>
      <c r="G127" s="29">
        <v>437.07600000000002</v>
      </c>
      <c r="H127" s="30">
        <f t="shared" si="24"/>
        <v>10926.900000000001</v>
      </c>
      <c r="I127" s="31">
        <f t="shared" si="25"/>
        <v>0</v>
      </c>
      <c r="J127" s="31">
        <f t="shared" si="26"/>
        <v>10926.900000000001</v>
      </c>
    </row>
    <row r="128" spans="1:10" s="32" customFormat="1" ht="36" x14ac:dyDescent="0.3">
      <c r="A128" s="27" t="s">
        <v>250</v>
      </c>
      <c r="B128" s="26" t="s">
        <v>164</v>
      </c>
      <c r="C128" s="27" t="s">
        <v>20</v>
      </c>
      <c r="D128" s="27">
        <v>300</v>
      </c>
      <c r="E128" s="28">
        <f t="shared" si="23"/>
        <v>148.24080000000001</v>
      </c>
      <c r="F128" s="29">
        <v>0</v>
      </c>
      <c r="G128" s="29">
        <v>148.24080000000001</v>
      </c>
      <c r="H128" s="30">
        <f t="shared" si="24"/>
        <v>44472.240000000005</v>
      </c>
      <c r="I128" s="31">
        <f t="shared" si="25"/>
        <v>0</v>
      </c>
      <c r="J128" s="31">
        <f t="shared" si="26"/>
        <v>44472.240000000005</v>
      </c>
    </row>
    <row r="129" spans="1:10" s="32" customFormat="1" ht="36" x14ac:dyDescent="0.3">
      <c r="A129" s="27" t="s">
        <v>251</v>
      </c>
      <c r="B129" s="26" t="s">
        <v>165</v>
      </c>
      <c r="C129" s="27" t="s">
        <v>84</v>
      </c>
      <c r="D129" s="27">
        <v>120</v>
      </c>
      <c r="E129" s="28">
        <f t="shared" si="23"/>
        <v>408.56400000000002</v>
      </c>
      <c r="F129" s="29">
        <v>0</v>
      </c>
      <c r="G129" s="29">
        <v>408.56400000000002</v>
      </c>
      <c r="H129" s="30">
        <f t="shared" si="24"/>
        <v>49027.68</v>
      </c>
      <c r="I129" s="31">
        <f t="shared" si="25"/>
        <v>0</v>
      </c>
      <c r="J129" s="31">
        <f t="shared" si="26"/>
        <v>49027.68</v>
      </c>
    </row>
    <row r="130" spans="1:10" s="32" customFormat="1" ht="36" x14ac:dyDescent="0.3">
      <c r="A130" s="27" t="s">
        <v>252</v>
      </c>
      <c r="B130" s="26" t="s">
        <v>166</v>
      </c>
      <c r="C130" s="27" t="s">
        <v>84</v>
      </c>
      <c r="D130" s="27">
        <v>300</v>
      </c>
      <c r="E130" s="28">
        <f t="shared" si="23"/>
        <v>122.2668</v>
      </c>
      <c r="F130" s="29">
        <v>0</v>
      </c>
      <c r="G130" s="29">
        <v>122.2668</v>
      </c>
      <c r="H130" s="30">
        <f t="shared" si="24"/>
        <v>36680.04</v>
      </c>
      <c r="I130" s="31">
        <f t="shared" si="25"/>
        <v>0</v>
      </c>
      <c r="J130" s="31">
        <f t="shared" si="26"/>
        <v>36680.04</v>
      </c>
    </row>
    <row r="131" spans="1:10" s="32" customFormat="1" ht="36" x14ac:dyDescent="0.3">
      <c r="A131" s="27" t="s">
        <v>253</v>
      </c>
      <c r="B131" s="26" t="s">
        <v>167</v>
      </c>
      <c r="C131" s="27" t="s">
        <v>20</v>
      </c>
      <c r="D131" s="27">
        <v>50</v>
      </c>
      <c r="E131" s="28">
        <f t="shared" si="23"/>
        <v>66.538800000000009</v>
      </c>
      <c r="F131" s="29">
        <v>0</v>
      </c>
      <c r="G131" s="29">
        <v>66.538800000000009</v>
      </c>
      <c r="H131" s="30">
        <f t="shared" si="24"/>
        <v>3326.9400000000005</v>
      </c>
      <c r="I131" s="31">
        <f t="shared" si="25"/>
        <v>0</v>
      </c>
      <c r="J131" s="31">
        <f t="shared" si="26"/>
        <v>3326.9400000000005</v>
      </c>
    </row>
    <row r="132" spans="1:10" s="32" customFormat="1" ht="36" x14ac:dyDescent="0.3">
      <c r="A132" s="27" t="s">
        <v>254</v>
      </c>
      <c r="B132" s="26" t="s">
        <v>168</v>
      </c>
      <c r="C132" s="27" t="s">
        <v>20</v>
      </c>
      <c r="D132" s="27">
        <v>1000</v>
      </c>
      <c r="E132" s="28">
        <f t="shared" si="23"/>
        <v>3.8664000000000005</v>
      </c>
      <c r="F132" s="29">
        <v>0</v>
      </c>
      <c r="G132" s="29">
        <v>3.8664000000000005</v>
      </c>
      <c r="H132" s="30">
        <f t="shared" si="24"/>
        <v>3866.4000000000005</v>
      </c>
      <c r="I132" s="31">
        <f t="shared" si="25"/>
        <v>0</v>
      </c>
      <c r="J132" s="31">
        <f t="shared" si="26"/>
        <v>3866.4000000000005</v>
      </c>
    </row>
    <row r="133" spans="1:10" s="32" customFormat="1" ht="18" x14ac:dyDescent="0.3">
      <c r="A133" s="27" t="s">
        <v>255</v>
      </c>
      <c r="B133" s="26" t="s">
        <v>169</v>
      </c>
      <c r="C133" s="27" t="s">
        <v>20</v>
      </c>
      <c r="D133" s="27">
        <v>1000</v>
      </c>
      <c r="E133" s="28">
        <f t="shared" si="23"/>
        <v>3.5964000000000005</v>
      </c>
      <c r="F133" s="29">
        <v>0</v>
      </c>
      <c r="G133" s="29">
        <v>3.5964000000000005</v>
      </c>
      <c r="H133" s="30">
        <f t="shared" si="24"/>
        <v>3596.4000000000005</v>
      </c>
      <c r="I133" s="31">
        <f t="shared" si="25"/>
        <v>0</v>
      </c>
      <c r="J133" s="31">
        <f t="shared" si="26"/>
        <v>3596.4000000000005</v>
      </c>
    </row>
    <row r="134" spans="1:10" s="32" customFormat="1" ht="36" x14ac:dyDescent="0.3">
      <c r="A134" s="27" t="s">
        <v>256</v>
      </c>
      <c r="B134" s="26" t="s">
        <v>170</v>
      </c>
      <c r="C134" s="27" t="s">
        <v>20</v>
      </c>
      <c r="D134" s="27">
        <v>1000</v>
      </c>
      <c r="E134" s="28">
        <f t="shared" si="23"/>
        <v>3.4452000000000003</v>
      </c>
      <c r="F134" s="29">
        <v>0</v>
      </c>
      <c r="G134" s="29">
        <v>3.4452000000000003</v>
      </c>
      <c r="H134" s="30">
        <f t="shared" si="24"/>
        <v>3445.2000000000003</v>
      </c>
      <c r="I134" s="31">
        <f t="shared" si="25"/>
        <v>0</v>
      </c>
      <c r="J134" s="31">
        <f t="shared" si="26"/>
        <v>3445.2000000000003</v>
      </c>
    </row>
    <row r="135" spans="1:10" s="32" customFormat="1" ht="54" x14ac:dyDescent="0.3">
      <c r="A135" s="27" t="s">
        <v>257</v>
      </c>
      <c r="B135" s="26" t="s">
        <v>171</v>
      </c>
      <c r="C135" s="27" t="s">
        <v>20</v>
      </c>
      <c r="D135" s="27">
        <v>1000</v>
      </c>
      <c r="E135" s="28">
        <f t="shared" si="23"/>
        <v>3.0348000000000002</v>
      </c>
      <c r="F135" s="29">
        <v>0</v>
      </c>
      <c r="G135" s="29">
        <v>3.0348000000000002</v>
      </c>
      <c r="H135" s="30">
        <f t="shared" si="24"/>
        <v>3034.8</v>
      </c>
      <c r="I135" s="31">
        <f t="shared" si="25"/>
        <v>0</v>
      </c>
      <c r="J135" s="31">
        <f t="shared" si="26"/>
        <v>3034.8</v>
      </c>
    </row>
    <row r="136" spans="1:10" s="32" customFormat="1" ht="36" x14ac:dyDescent="0.3">
      <c r="A136" s="27" t="s">
        <v>258</v>
      </c>
      <c r="B136" s="26" t="s">
        <v>172</v>
      </c>
      <c r="C136" s="27" t="s">
        <v>20</v>
      </c>
      <c r="D136" s="27">
        <v>100</v>
      </c>
      <c r="E136" s="28">
        <f t="shared" si="23"/>
        <v>614.25</v>
      </c>
      <c r="F136" s="29">
        <v>0</v>
      </c>
      <c r="G136" s="29">
        <v>614.25</v>
      </c>
      <c r="H136" s="30">
        <f t="shared" si="24"/>
        <v>61425</v>
      </c>
      <c r="I136" s="31">
        <f t="shared" si="25"/>
        <v>0</v>
      </c>
      <c r="J136" s="31">
        <f t="shared" si="26"/>
        <v>61425</v>
      </c>
    </row>
    <row r="137" spans="1:10" s="32" customFormat="1" ht="17.399999999999999" x14ac:dyDescent="0.3">
      <c r="A137" s="14"/>
      <c r="B137" s="14" t="s">
        <v>240</v>
      </c>
      <c r="C137" s="14"/>
      <c r="D137" s="14"/>
      <c r="E137" s="14"/>
      <c r="F137" s="14"/>
      <c r="G137" s="14"/>
      <c r="H137" s="14"/>
      <c r="I137" s="14"/>
      <c r="J137" s="14"/>
    </row>
    <row r="138" spans="1:10" s="32" customFormat="1" ht="36" x14ac:dyDescent="0.3">
      <c r="A138" s="20">
        <v>28</v>
      </c>
      <c r="B138" s="23" t="s">
        <v>246</v>
      </c>
      <c r="C138" s="20" t="s">
        <v>20</v>
      </c>
      <c r="D138" s="20">
        <f>D139</f>
        <v>20</v>
      </c>
      <c r="E138" s="24">
        <f t="shared" ref="E138:E142" si="79">F138+G138</f>
        <v>1762.5465000000004</v>
      </c>
      <c r="F138" s="17">
        <v>1762.5465000000004</v>
      </c>
      <c r="G138" s="17">
        <v>0</v>
      </c>
      <c r="H138" s="15">
        <f t="shared" ref="H138:H142" si="80">I138+J138</f>
        <v>35250.930000000008</v>
      </c>
      <c r="I138" s="16">
        <f t="shared" ref="I138:I142" si="81">D138*F138</f>
        <v>35250.930000000008</v>
      </c>
      <c r="J138" s="16">
        <f t="shared" ref="J138:J142" si="82">D138*G138</f>
        <v>0</v>
      </c>
    </row>
    <row r="139" spans="1:10" s="32" customFormat="1" ht="54" x14ac:dyDescent="0.3">
      <c r="A139" s="27" t="s">
        <v>221</v>
      </c>
      <c r="B139" s="26" t="s">
        <v>176</v>
      </c>
      <c r="C139" s="27" t="s">
        <v>20</v>
      </c>
      <c r="D139" s="27">
        <v>20</v>
      </c>
      <c r="E139" s="28">
        <f t="shared" si="79"/>
        <v>3186.9936000000002</v>
      </c>
      <c r="F139" s="29">
        <v>0</v>
      </c>
      <c r="G139" s="29">
        <v>3186.9936000000002</v>
      </c>
      <c r="H139" s="30">
        <f t="shared" si="80"/>
        <v>63739.872000000003</v>
      </c>
      <c r="I139" s="31">
        <f t="shared" si="81"/>
        <v>0</v>
      </c>
      <c r="J139" s="31">
        <f t="shared" si="82"/>
        <v>63739.872000000003</v>
      </c>
    </row>
    <row r="140" spans="1:10" s="32" customFormat="1" ht="36" x14ac:dyDescent="0.3">
      <c r="A140" s="20">
        <v>29</v>
      </c>
      <c r="B140" s="23" t="s">
        <v>239</v>
      </c>
      <c r="C140" s="20" t="s">
        <v>84</v>
      </c>
      <c r="D140" s="20">
        <f>D141</f>
        <v>350</v>
      </c>
      <c r="E140" s="24">
        <f t="shared" si="79"/>
        <v>349.20600000000007</v>
      </c>
      <c r="F140" s="17">
        <v>349.20600000000007</v>
      </c>
      <c r="G140" s="17">
        <v>0</v>
      </c>
      <c r="H140" s="15">
        <f t="shared" si="80"/>
        <v>122222.10000000002</v>
      </c>
      <c r="I140" s="16">
        <f t="shared" si="81"/>
        <v>122222.10000000002</v>
      </c>
      <c r="J140" s="16">
        <f t="shared" si="82"/>
        <v>0</v>
      </c>
    </row>
    <row r="141" spans="1:10" s="32" customFormat="1" ht="36" x14ac:dyDescent="0.3">
      <c r="A141" s="27" t="s">
        <v>222</v>
      </c>
      <c r="B141" s="26" t="s">
        <v>180</v>
      </c>
      <c r="C141" s="27" t="s">
        <v>84</v>
      </c>
      <c r="D141" s="27">
        <v>350</v>
      </c>
      <c r="E141" s="28">
        <f t="shared" si="79"/>
        <v>252.78480000000002</v>
      </c>
      <c r="F141" s="29">
        <v>0</v>
      </c>
      <c r="G141" s="29">
        <v>252.78480000000002</v>
      </c>
      <c r="H141" s="30">
        <f t="shared" si="80"/>
        <v>88474.680000000008</v>
      </c>
      <c r="I141" s="31">
        <f t="shared" si="81"/>
        <v>0</v>
      </c>
      <c r="J141" s="31">
        <f t="shared" si="82"/>
        <v>88474.680000000008</v>
      </c>
    </row>
    <row r="142" spans="1:10" s="32" customFormat="1" ht="36" x14ac:dyDescent="0.3">
      <c r="A142" s="27" t="s">
        <v>223</v>
      </c>
      <c r="B142" s="26" t="s">
        <v>184</v>
      </c>
      <c r="C142" s="27" t="s">
        <v>20</v>
      </c>
      <c r="D142" s="27">
        <v>20</v>
      </c>
      <c r="E142" s="28">
        <f t="shared" si="79"/>
        <v>340.416</v>
      </c>
      <c r="F142" s="29">
        <v>0</v>
      </c>
      <c r="G142" s="29">
        <v>340.416</v>
      </c>
      <c r="H142" s="30">
        <f t="shared" si="80"/>
        <v>6808.32</v>
      </c>
      <c r="I142" s="31">
        <f t="shared" si="81"/>
        <v>0</v>
      </c>
      <c r="J142" s="31">
        <f t="shared" si="82"/>
        <v>6808.32</v>
      </c>
    </row>
    <row r="143" spans="1:10" s="32" customFormat="1" ht="17.399999999999999" x14ac:dyDescent="0.3">
      <c r="A143" s="14"/>
      <c r="B143" s="14" t="s">
        <v>241</v>
      </c>
      <c r="C143" s="14"/>
      <c r="D143" s="14"/>
      <c r="E143" s="14"/>
      <c r="F143" s="14"/>
      <c r="G143" s="14"/>
      <c r="H143" s="14"/>
      <c r="I143" s="14"/>
      <c r="J143" s="14"/>
    </row>
    <row r="144" spans="1:10" s="32" customFormat="1" ht="36" x14ac:dyDescent="0.3">
      <c r="A144" s="20">
        <v>30</v>
      </c>
      <c r="B144" s="23" t="s">
        <v>245</v>
      </c>
      <c r="C144" s="20" t="s">
        <v>84</v>
      </c>
      <c r="D144" s="20">
        <f>D145</f>
        <v>1500</v>
      </c>
      <c r="E144" s="24">
        <f t="shared" ref="E144" si="83">F144+G144</f>
        <v>417.63150000000007</v>
      </c>
      <c r="F144" s="17">
        <v>417.63150000000007</v>
      </c>
      <c r="G144" s="17">
        <v>0</v>
      </c>
      <c r="H144" s="15">
        <f t="shared" ref="H144" si="84">I144+J144</f>
        <v>626447.25000000012</v>
      </c>
      <c r="I144" s="16">
        <f t="shared" ref="I144" si="85">D144*F144</f>
        <v>626447.25000000012</v>
      </c>
      <c r="J144" s="16">
        <f t="shared" ref="J144" si="86">D144*G144</f>
        <v>0</v>
      </c>
    </row>
    <row r="145" spans="1:10" s="32" customFormat="1" ht="36" x14ac:dyDescent="0.3">
      <c r="A145" s="27" t="s">
        <v>224</v>
      </c>
      <c r="B145" s="26" t="s">
        <v>173</v>
      </c>
      <c r="C145" s="27" t="s">
        <v>84</v>
      </c>
      <c r="D145" s="27">
        <v>1500</v>
      </c>
      <c r="E145" s="28">
        <f>F145+G145</f>
        <v>76.906800000000004</v>
      </c>
      <c r="F145" s="29">
        <v>0</v>
      </c>
      <c r="G145" s="29">
        <v>76.906800000000004</v>
      </c>
      <c r="H145" s="30">
        <f>I145+J145</f>
        <v>115360.20000000001</v>
      </c>
      <c r="I145" s="31">
        <f>D145*F145</f>
        <v>0</v>
      </c>
      <c r="J145" s="31">
        <f>D145*G145</f>
        <v>115360.20000000001</v>
      </c>
    </row>
    <row r="146" spans="1:10" s="32" customFormat="1" ht="36" x14ac:dyDescent="0.3">
      <c r="A146" s="27" t="s">
        <v>225</v>
      </c>
      <c r="B146" s="26" t="s">
        <v>179</v>
      </c>
      <c r="C146" s="27" t="s">
        <v>20</v>
      </c>
      <c r="D146" s="27">
        <v>1200</v>
      </c>
      <c r="E146" s="28">
        <f t="shared" ref="E146:E148" si="87">F146+G146</f>
        <v>117.9468</v>
      </c>
      <c r="F146" s="29">
        <v>0</v>
      </c>
      <c r="G146" s="29">
        <v>117.9468</v>
      </c>
      <c r="H146" s="30">
        <f t="shared" ref="H146:H148" si="88">I146+J146</f>
        <v>141536.16</v>
      </c>
      <c r="I146" s="31">
        <f t="shared" ref="I146:I148" si="89">D146*F146</f>
        <v>0</v>
      </c>
      <c r="J146" s="31">
        <f t="shared" ref="J146:J148" si="90">D146*G146</f>
        <v>141536.16</v>
      </c>
    </row>
    <row r="147" spans="1:10" s="32" customFormat="1" ht="36" x14ac:dyDescent="0.3">
      <c r="A147" s="27" t="s">
        <v>226</v>
      </c>
      <c r="B147" s="26" t="s">
        <v>188</v>
      </c>
      <c r="C147" s="27" t="s">
        <v>20</v>
      </c>
      <c r="D147" s="27">
        <v>200</v>
      </c>
      <c r="E147" s="28">
        <f t="shared" si="87"/>
        <v>56.084400000000002</v>
      </c>
      <c r="F147" s="29">
        <v>0</v>
      </c>
      <c r="G147" s="29">
        <v>56.084400000000002</v>
      </c>
      <c r="H147" s="30">
        <f t="shared" si="88"/>
        <v>11216.880000000001</v>
      </c>
      <c r="I147" s="31">
        <f t="shared" si="89"/>
        <v>0</v>
      </c>
      <c r="J147" s="31">
        <f t="shared" si="90"/>
        <v>11216.880000000001</v>
      </c>
    </row>
    <row r="148" spans="1:10" s="32" customFormat="1" ht="36" x14ac:dyDescent="0.3">
      <c r="A148" s="27" t="s">
        <v>227</v>
      </c>
      <c r="B148" s="26" t="s">
        <v>177</v>
      </c>
      <c r="C148" s="27" t="s">
        <v>20</v>
      </c>
      <c r="D148" s="27">
        <v>100</v>
      </c>
      <c r="E148" s="28">
        <f t="shared" si="87"/>
        <v>89.715599999999995</v>
      </c>
      <c r="F148" s="29">
        <v>0</v>
      </c>
      <c r="G148" s="29">
        <v>89.715599999999995</v>
      </c>
      <c r="H148" s="30">
        <f t="shared" si="88"/>
        <v>8971.56</v>
      </c>
      <c r="I148" s="31">
        <f t="shared" si="89"/>
        <v>0</v>
      </c>
      <c r="J148" s="31">
        <f t="shared" si="90"/>
        <v>8971.56</v>
      </c>
    </row>
    <row r="149" spans="1:10" s="32" customFormat="1" ht="54" x14ac:dyDescent="0.3">
      <c r="A149" s="27" t="s">
        <v>228</v>
      </c>
      <c r="B149" s="26" t="s">
        <v>185</v>
      </c>
      <c r="C149" s="27" t="s">
        <v>20</v>
      </c>
      <c r="D149" s="27">
        <v>20</v>
      </c>
      <c r="E149" s="28">
        <f>F149+G149</f>
        <v>525</v>
      </c>
      <c r="F149" s="29">
        <v>0</v>
      </c>
      <c r="G149" s="29">
        <v>525</v>
      </c>
      <c r="H149" s="30">
        <f>I149+J149</f>
        <v>10500</v>
      </c>
      <c r="I149" s="31">
        <f>D149*F149</f>
        <v>0</v>
      </c>
      <c r="J149" s="31">
        <f>D149*G149</f>
        <v>10500</v>
      </c>
    </row>
    <row r="150" spans="1:10" s="32" customFormat="1" ht="36" x14ac:dyDescent="0.3">
      <c r="A150" s="20">
        <v>31</v>
      </c>
      <c r="B150" s="23" t="s">
        <v>238</v>
      </c>
      <c r="C150" s="20" t="s">
        <v>20</v>
      </c>
      <c r="D150" s="20">
        <v>50</v>
      </c>
      <c r="E150" s="24">
        <f t="shared" ref="E150" si="91">F150+G150</f>
        <v>851.7795000000001</v>
      </c>
      <c r="F150" s="17">
        <v>851.7795000000001</v>
      </c>
      <c r="G150" s="17">
        <v>0</v>
      </c>
      <c r="H150" s="15">
        <f t="shared" ref="H150" si="92">I150+J150</f>
        <v>42588.975000000006</v>
      </c>
      <c r="I150" s="16">
        <f t="shared" ref="I150" si="93">D150*F150</f>
        <v>42588.975000000006</v>
      </c>
      <c r="J150" s="16">
        <f t="shared" ref="J150" si="94">D150*G150</f>
        <v>0</v>
      </c>
    </row>
    <row r="151" spans="1:10" s="32" customFormat="1" ht="36" x14ac:dyDescent="0.3">
      <c r="A151" s="27" t="s">
        <v>229</v>
      </c>
      <c r="B151" s="26" t="s">
        <v>178</v>
      </c>
      <c r="C151" s="27" t="s">
        <v>84</v>
      </c>
      <c r="D151" s="27">
        <v>100</v>
      </c>
      <c r="E151" s="28">
        <f>F151+G151</f>
        <v>549.6228000000001</v>
      </c>
      <c r="F151" s="29">
        <v>0</v>
      </c>
      <c r="G151" s="29">
        <v>549.6228000000001</v>
      </c>
      <c r="H151" s="30">
        <f>I151+J151</f>
        <v>54962.280000000013</v>
      </c>
      <c r="I151" s="31">
        <f>D151*F151</f>
        <v>0</v>
      </c>
      <c r="J151" s="31">
        <f>D151*G151</f>
        <v>54962.280000000013</v>
      </c>
    </row>
    <row r="152" spans="1:10" s="32" customFormat="1" ht="36" x14ac:dyDescent="0.3">
      <c r="A152" s="27" t="s">
        <v>233</v>
      </c>
      <c r="B152" s="26" t="s">
        <v>177</v>
      </c>
      <c r="C152" s="27" t="s">
        <v>20</v>
      </c>
      <c r="D152" s="27">
        <v>100</v>
      </c>
      <c r="E152" s="28">
        <f t="shared" ref="E152" si="95">F152+G152</f>
        <v>89.715599999999995</v>
      </c>
      <c r="F152" s="29">
        <v>0</v>
      </c>
      <c r="G152" s="29">
        <v>89.715599999999995</v>
      </c>
      <c r="H152" s="30">
        <f t="shared" ref="H152" si="96">I152+J152</f>
        <v>8971.56</v>
      </c>
      <c r="I152" s="31">
        <f t="shared" ref="I152" si="97">D152*F152</f>
        <v>0</v>
      </c>
      <c r="J152" s="31">
        <f t="shared" ref="J152" si="98">D152*G152</f>
        <v>8971.56</v>
      </c>
    </row>
    <row r="153" spans="1:10" s="32" customFormat="1" ht="17.399999999999999" x14ac:dyDescent="0.3">
      <c r="A153" s="14"/>
      <c r="B153" s="14" t="s">
        <v>247</v>
      </c>
      <c r="C153" s="14"/>
      <c r="D153" s="14"/>
      <c r="E153" s="14"/>
      <c r="F153" s="14"/>
      <c r="G153" s="14"/>
      <c r="H153" s="14"/>
      <c r="I153" s="14"/>
      <c r="J153" s="14"/>
    </row>
    <row r="154" spans="1:10" s="32" customFormat="1" ht="72" x14ac:dyDescent="0.3">
      <c r="A154" s="20">
        <v>32</v>
      </c>
      <c r="B154" s="23" t="s">
        <v>242</v>
      </c>
      <c r="C154" s="20" t="s">
        <v>84</v>
      </c>
      <c r="D154" s="20">
        <f>D155</f>
        <v>100</v>
      </c>
      <c r="E154" s="24">
        <f t="shared" ref="E154" si="99">F154+G154</f>
        <v>760.23090000000013</v>
      </c>
      <c r="F154" s="17">
        <v>760.23090000000013</v>
      </c>
      <c r="G154" s="17">
        <v>0</v>
      </c>
      <c r="H154" s="15">
        <f t="shared" ref="H154" si="100">I154+J154</f>
        <v>76023.090000000011</v>
      </c>
      <c r="I154" s="16">
        <f t="shared" ref="I154" si="101">D154*F154</f>
        <v>76023.090000000011</v>
      </c>
      <c r="J154" s="16">
        <f t="shared" ref="J154" si="102">D154*G154</f>
        <v>0</v>
      </c>
    </row>
    <row r="155" spans="1:10" s="32" customFormat="1" ht="54" x14ac:dyDescent="0.3">
      <c r="A155" s="27" t="s">
        <v>230</v>
      </c>
      <c r="B155" s="26" t="s">
        <v>191</v>
      </c>
      <c r="C155" s="27" t="s">
        <v>84</v>
      </c>
      <c r="D155" s="27">
        <v>100</v>
      </c>
      <c r="E155" s="28">
        <f>F155+G155</f>
        <v>316.56960000000004</v>
      </c>
      <c r="F155" s="29">
        <v>0</v>
      </c>
      <c r="G155" s="29">
        <v>316.56960000000004</v>
      </c>
      <c r="H155" s="30">
        <f>I155+J155</f>
        <v>31656.960000000003</v>
      </c>
      <c r="I155" s="31">
        <f>D155*F155</f>
        <v>0</v>
      </c>
      <c r="J155" s="31">
        <f>D155*G155</f>
        <v>31656.960000000003</v>
      </c>
    </row>
    <row r="156" spans="1:10" s="32" customFormat="1" ht="18" x14ac:dyDescent="0.3">
      <c r="A156" s="27" t="s">
        <v>231</v>
      </c>
      <c r="B156" s="26" t="s">
        <v>193</v>
      </c>
      <c r="C156" s="27" t="s">
        <v>20</v>
      </c>
      <c r="D156" s="27">
        <v>10</v>
      </c>
      <c r="E156" s="28">
        <f t="shared" ref="E156:E162" si="103">F156+G156</f>
        <v>53.276400000000002</v>
      </c>
      <c r="F156" s="29">
        <v>0</v>
      </c>
      <c r="G156" s="29">
        <v>53.276400000000002</v>
      </c>
      <c r="H156" s="30">
        <f t="shared" ref="H156:H162" si="104">I156+J156</f>
        <v>532.76400000000001</v>
      </c>
      <c r="I156" s="31">
        <f t="shared" ref="I156:I162" si="105">D156*F156</f>
        <v>0</v>
      </c>
      <c r="J156" s="31">
        <f t="shared" ref="J156:J162" si="106">D156*G156</f>
        <v>532.76400000000001</v>
      </c>
    </row>
    <row r="157" spans="1:10" s="32" customFormat="1" ht="54" x14ac:dyDescent="0.3">
      <c r="A157" s="20">
        <v>33</v>
      </c>
      <c r="B157" s="23" t="s">
        <v>244</v>
      </c>
      <c r="C157" s="20" t="s">
        <v>84</v>
      </c>
      <c r="D157" s="20">
        <f>D158</f>
        <v>400</v>
      </c>
      <c r="E157" s="24">
        <f t="shared" si="103"/>
        <v>397.33980000000003</v>
      </c>
      <c r="F157" s="17">
        <v>397.33980000000003</v>
      </c>
      <c r="G157" s="17">
        <v>0</v>
      </c>
      <c r="H157" s="15">
        <f t="shared" si="104"/>
        <v>158935.92000000001</v>
      </c>
      <c r="I157" s="16">
        <f t="shared" si="105"/>
        <v>158935.92000000001</v>
      </c>
      <c r="J157" s="16">
        <f t="shared" si="106"/>
        <v>0</v>
      </c>
    </row>
    <row r="158" spans="1:10" s="32" customFormat="1" ht="36" x14ac:dyDescent="0.3">
      <c r="A158" s="27" t="s">
        <v>232</v>
      </c>
      <c r="B158" s="26" t="s">
        <v>181</v>
      </c>
      <c r="C158" s="27" t="s">
        <v>84</v>
      </c>
      <c r="D158" s="27">
        <v>400</v>
      </c>
      <c r="E158" s="28">
        <f t="shared" si="103"/>
        <v>177.85440000000003</v>
      </c>
      <c r="F158" s="29">
        <v>0</v>
      </c>
      <c r="G158" s="29">
        <v>177.85440000000003</v>
      </c>
      <c r="H158" s="30">
        <f t="shared" si="104"/>
        <v>71141.760000000009</v>
      </c>
      <c r="I158" s="31">
        <f t="shared" si="105"/>
        <v>0</v>
      </c>
      <c r="J158" s="31">
        <f t="shared" si="106"/>
        <v>71141.760000000009</v>
      </c>
    </row>
    <row r="159" spans="1:10" s="32" customFormat="1" ht="18" x14ac:dyDescent="0.3">
      <c r="A159" s="27" t="s">
        <v>236</v>
      </c>
      <c r="B159" s="26" t="s">
        <v>182</v>
      </c>
      <c r="C159" s="27" t="s">
        <v>20</v>
      </c>
      <c r="D159" s="27">
        <v>400</v>
      </c>
      <c r="E159" s="28">
        <f t="shared" si="103"/>
        <v>158.5548</v>
      </c>
      <c r="F159" s="29">
        <v>0</v>
      </c>
      <c r="G159" s="29">
        <v>158.5548</v>
      </c>
      <c r="H159" s="30">
        <f t="shared" si="104"/>
        <v>63421.919999999998</v>
      </c>
      <c r="I159" s="31">
        <f t="shared" si="105"/>
        <v>0</v>
      </c>
      <c r="J159" s="31">
        <f t="shared" si="106"/>
        <v>63421.919999999998</v>
      </c>
    </row>
    <row r="160" spans="1:10" s="32" customFormat="1" ht="72" x14ac:dyDescent="0.3">
      <c r="A160" s="20">
        <v>34</v>
      </c>
      <c r="B160" s="23" t="s">
        <v>243</v>
      </c>
      <c r="C160" s="20" t="s">
        <v>84</v>
      </c>
      <c r="D160" s="20">
        <f>D161</f>
        <v>500</v>
      </c>
      <c r="E160" s="24">
        <f t="shared" si="103"/>
        <v>496.43880000000007</v>
      </c>
      <c r="F160" s="17">
        <v>496.43880000000007</v>
      </c>
      <c r="G160" s="17">
        <v>0</v>
      </c>
      <c r="H160" s="15">
        <f t="shared" si="104"/>
        <v>248219.40000000002</v>
      </c>
      <c r="I160" s="16">
        <f t="shared" si="105"/>
        <v>248219.40000000002</v>
      </c>
      <c r="J160" s="16">
        <f t="shared" si="106"/>
        <v>0</v>
      </c>
    </row>
    <row r="161" spans="1:10" s="32" customFormat="1" ht="54" x14ac:dyDescent="0.3">
      <c r="A161" s="27" t="s">
        <v>237</v>
      </c>
      <c r="B161" s="26" t="s">
        <v>195</v>
      </c>
      <c r="C161" s="27" t="s">
        <v>84</v>
      </c>
      <c r="D161" s="27">
        <v>500</v>
      </c>
      <c r="E161" s="28">
        <f t="shared" si="103"/>
        <v>49.680000000000007</v>
      </c>
      <c r="F161" s="29">
        <v>0</v>
      </c>
      <c r="G161" s="29">
        <v>49.680000000000007</v>
      </c>
      <c r="H161" s="30">
        <f t="shared" si="104"/>
        <v>24840.000000000004</v>
      </c>
      <c r="I161" s="31">
        <f t="shared" si="105"/>
        <v>0</v>
      </c>
      <c r="J161" s="31">
        <f t="shared" si="106"/>
        <v>24840.000000000004</v>
      </c>
    </row>
    <row r="162" spans="1:10" s="32" customFormat="1" ht="18" x14ac:dyDescent="0.3">
      <c r="A162" s="27" t="s">
        <v>259</v>
      </c>
      <c r="B162" s="26" t="s">
        <v>197</v>
      </c>
      <c r="C162" s="27" t="s">
        <v>20</v>
      </c>
      <c r="D162" s="27">
        <v>30</v>
      </c>
      <c r="E162" s="28">
        <f t="shared" si="103"/>
        <v>9.2448000000000015</v>
      </c>
      <c r="F162" s="29">
        <v>0</v>
      </c>
      <c r="G162" s="29">
        <v>9.2448000000000015</v>
      </c>
      <c r="H162" s="30">
        <f t="shared" si="104"/>
        <v>277.34400000000005</v>
      </c>
      <c r="I162" s="31">
        <f t="shared" si="105"/>
        <v>0</v>
      </c>
      <c r="J162" s="31">
        <f t="shared" si="106"/>
        <v>277.34400000000005</v>
      </c>
    </row>
    <row r="163" spans="1:10" s="32" customFormat="1" ht="36" x14ac:dyDescent="0.3">
      <c r="A163" s="20">
        <v>35</v>
      </c>
      <c r="B163" s="23" t="s">
        <v>189</v>
      </c>
      <c r="C163" s="20" t="s">
        <v>20</v>
      </c>
      <c r="D163" s="20">
        <f>D164</f>
        <v>2</v>
      </c>
      <c r="E163" s="24">
        <f t="shared" ref="E163:E164" si="107">F163+G163</f>
        <v>1179.75</v>
      </c>
      <c r="F163" s="17">
        <v>1179.75</v>
      </c>
      <c r="G163" s="17">
        <v>0</v>
      </c>
      <c r="H163" s="15">
        <f t="shared" ref="H163:H164" si="108">I163+J163</f>
        <v>2359.5</v>
      </c>
      <c r="I163" s="16">
        <f t="shared" ref="I163:I164" si="109">D163*F163</f>
        <v>2359.5</v>
      </c>
      <c r="J163" s="16">
        <f t="shared" ref="J163:J164" si="110">D163*G163</f>
        <v>0</v>
      </c>
    </row>
    <row r="164" spans="1:10" s="32" customFormat="1" ht="36" x14ac:dyDescent="0.3">
      <c r="A164" s="27" t="s">
        <v>260</v>
      </c>
      <c r="B164" s="26" t="s">
        <v>190</v>
      </c>
      <c r="C164" s="27" t="s">
        <v>20</v>
      </c>
      <c r="D164" s="27">
        <v>2</v>
      </c>
      <c r="E164" s="28">
        <f t="shared" si="107"/>
        <v>246.09960000000001</v>
      </c>
      <c r="F164" s="29">
        <v>0</v>
      </c>
      <c r="G164" s="29">
        <v>246.09960000000001</v>
      </c>
      <c r="H164" s="30">
        <f t="shared" si="108"/>
        <v>492.19920000000002</v>
      </c>
      <c r="I164" s="31">
        <f t="shared" si="109"/>
        <v>0</v>
      </c>
      <c r="J164" s="31">
        <f t="shared" si="110"/>
        <v>492.19920000000002</v>
      </c>
    </row>
    <row r="165" spans="1:10" s="32" customFormat="1" ht="18" x14ac:dyDescent="0.3">
      <c r="A165" s="20">
        <v>36</v>
      </c>
      <c r="B165" s="23" t="s">
        <v>262</v>
      </c>
      <c r="C165" s="20" t="s">
        <v>38</v>
      </c>
      <c r="D165" s="20">
        <v>1</v>
      </c>
      <c r="E165" s="24">
        <f t="shared" ref="E165" si="111">F165+G165</f>
        <v>610000</v>
      </c>
      <c r="F165" s="17">
        <v>610000</v>
      </c>
      <c r="G165" s="17">
        <v>0</v>
      </c>
      <c r="H165" s="15">
        <f t="shared" ref="H165" si="112">I165+J165</f>
        <v>610000</v>
      </c>
      <c r="I165" s="16">
        <f t="shared" ref="I165" si="113">D165*F165</f>
        <v>610000</v>
      </c>
      <c r="J165" s="16">
        <f t="shared" ref="J165" si="114">D165*G165</f>
        <v>0</v>
      </c>
    </row>
    <row r="166" spans="1:10" s="32" customFormat="1" ht="18" x14ac:dyDescent="0.3">
      <c r="A166" s="37" t="s">
        <v>31</v>
      </c>
      <c r="B166" s="38"/>
      <c r="C166" s="38"/>
      <c r="D166" s="38"/>
      <c r="E166" s="38"/>
      <c r="F166" s="38"/>
      <c r="G166" s="39"/>
      <c r="H166" s="15">
        <f>SUM(H25:H165)</f>
        <v>13901391.771980003</v>
      </c>
      <c r="I166" s="15">
        <f t="shared" ref="I166:J166" si="115">SUM(I25:I165)</f>
        <v>8097673.2587799989</v>
      </c>
      <c r="J166" s="15">
        <f t="shared" si="115"/>
        <v>5803718.5132000037</v>
      </c>
    </row>
    <row r="167" spans="1:10" s="32" customFormat="1" ht="18" x14ac:dyDescent="0.3">
      <c r="A167" s="37" t="s">
        <v>32</v>
      </c>
      <c r="B167" s="38"/>
      <c r="C167" s="38"/>
      <c r="D167" s="38"/>
      <c r="E167" s="38"/>
      <c r="F167" s="38"/>
      <c r="G167" s="39"/>
      <c r="H167" s="15">
        <f>H166*0.22</f>
        <v>3058306.1898356006</v>
      </c>
      <c r="I167" s="16">
        <f>I166*0.22</f>
        <v>1781488.1169315998</v>
      </c>
      <c r="J167" s="16">
        <f>J166*0.22</f>
        <v>1276818.0729040008</v>
      </c>
    </row>
    <row r="168" spans="1:10" s="32" customFormat="1" ht="18" x14ac:dyDescent="0.3">
      <c r="A168" s="37" t="s">
        <v>33</v>
      </c>
      <c r="B168" s="38"/>
      <c r="C168" s="38"/>
      <c r="D168" s="38"/>
      <c r="E168" s="38"/>
      <c r="F168" s="38"/>
      <c r="G168" s="39"/>
      <c r="H168" s="15">
        <f>H166*1.22</f>
        <v>16959697.961815603</v>
      </c>
      <c r="I168" s="16">
        <f>I166*1.22</f>
        <v>9879161.3757115975</v>
      </c>
      <c r="J168" s="16">
        <f>J166*1.22</f>
        <v>7080536.5861040046</v>
      </c>
    </row>
  </sheetData>
  <autoFilter ref="A23:J168" xr:uid="{00000000-0009-0000-0000-000000000000}"/>
  <mergeCells count="26">
    <mergeCell ref="A12:J12"/>
    <mergeCell ref="H4:J4"/>
    <mergeCell ref="H5:J5"/>
    <mergeCell ref="H6:J6"/>
    <mergeCell ref="B10:I10"/>
    <mergeCell ref="A11:J11"/>
    <mergeCell ref="B13:J13"/>
    <mergeCell ref="B14:I14"/>
    <mergeCell ref="F17:G17"/>
    <mergeCell ref="A19:A22"/>
    <mergeCell ref="B19:B22"/>
    <mergeCell ref="C19:C22"/>
    <mergeCell ref="D19:D22"/>
    <mergeCell ref="E19:G19"/>
    <mergeCell ref="H19:J19"/>
    <mergeCell ref="E20:E22"/>
    <mergeCell ref="I20:J20"/>
    <mergeCell ref="F21:F22"/>
    <mergeCell ref="G21:G22"/>
    <mergeCell ref="I21:I22"/>
    <mergeCell ref="J21:J22"/>
    <mergeCell ref="A166:G166"/>
    <mergeCell ref="A167:G167"/>
    <mergeCell ref="A168:G168"/>
    <mergeCell ref="F20:G20"/>
    <mergeCell ref="H20:H2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ЭОМ-1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Energomost</cp:lastModifiedBy>
  <dcterms:created xsi:type="dcterms:W3CDTF">2026-05-26T08:59:15Z</dcterms:created>
  <dcterms:modified xsi:type="dcterms:W3CDTF">2026-06-03T10:21:21Z</dcterms:modified>
</cp:coreProperties>
</file>